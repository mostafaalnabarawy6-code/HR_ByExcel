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ml.chartshap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Mostafa Elnabarawy\Desktop\"/>
    </mc:Choice>
  </mc:AlternateContent>
  <xr:revisionPtr revIDLastSave="0" documentId="13_ncr:1_{A1521F5F-0B44-4D3D-9DEB-34A45CB51E87}" xr6:coauthVersionLast="47" xr6:coauthVersionMax="47" xr10:uidLastSave="{00000000-0000-0000-0000-000000000000}"/>
  <bookViews>
    <workbookView xWindow="-120" yWindow="-120" windowWidth="20730" windowHeight="11040" activeTab="2" xr2:uid="{00000000-000D-0000-FFFF-FFFF00000000}"/>
  </bookViews>
  <sheets>
    <sheet name="Pivot Table" sheetId="3" r:id="rId1"/>
    <sheet name="Dashbourd2" sheetId="6" r:id="rId2"/>
    <sheet name="Dashbourd" sheetId="4" r:id="rId3"/>
  </sheets>
  <definedNames>
    <definedName name="_xlcn.WorksheetConnection_HRDataset.xlsxHR_Data" hidden="1">HR_Data</definedName>
    <definedName name="Slicer_Age_Group">#N/A</definedName>
    <definedName name="Slicer_Department">#N/A</definedName>
    <definedName name="Slicer_Pay_Group">#N/A</definedName>
    <definedName name="Slicer_Region">#N/A</definedName>
  </definedNames>
  <calcPr calcId="181029"/>
  <pivotCaches>
    <pivotCache cacheId="5" r:id="rId4"/>
    <pivotCache cacheId="6" r:id="rId5"/>
    <pivotCache cacheId="7" r:id="rId6"/>
    <pivotCache cacheId="8" r:id="rId7"/>
    <pivotCache cacheId="9" r:id="rId8"/>
    <pivotCache cacheId="10" r:id="rId9"/>
    <pivotCache cacheId="11" r:id="rId10"/>
    <pivotCache cacheId="12" r:id="rId11"/>
  </pivotCaches>
  <extLst>
    <ext xmlns:x14="http://schemas.microsoft.com/office/spreadsheetml/2009/9/main" uri="{876F7934-8845-4945-9796-88D515C7AA90}">
      <x14:pivotCaches>
        <pivotCache cacheId="13"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R_Data" name="HR_Data" connection="WorksheetConnection_HR Dataset.xlsx!HR_Data"/>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B42F9E-EE97-4603-A66D-9C9468FFDE5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AD9BF1EC-4E18-447B-BB03-DD756B46D83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9624176-E2F8-4DDE-A04F-7CD694499370}" name="WorksheetConnection_HR Dataset.xlsx!HR_Data" type="102" refreshedVersion="7" minRefreshableVersion="5">
    <extLst>
      <ext xmlns:x15="http://schemas.microsoft.com/office/spreadsheetml/2010/11/main" uri="{DE250136-89BD-433C-8126-D09CA5730AF9}">
        <x15:connection id="HR_Data" autoDelete="1">
          <x15:rangePr sourceName="_xlcn.WorksheetConnection_HRDataset.xlsxHR_Data"/>
        </x15:connection>
      </ext>
    </extLst>
  </connection>
</connections>
</file>

<file path=xl/sharedStrings.xml><?xml version="1.0" encoding="utf-8"?>
<sst xmlns="http://schemas.openxmlformats.org/spreadsheetml/2006/main" count="111" uniqueCount="52">
  <si>
    <t>F</t>
  </si>
  <si>
    <t>Northeast</t>
  </si>
  <si>
    <t>Marketing</t>
  </si>
  <si>
    <t>bottom</t>
  </si>
  <si>
    <t>M</t>
  </si>
  <si>
    <t>West</t>
  </si>
  <si>
    <t>Sales</t>
  </si>
  <si>
    <t>top</t>
  </si>
  <si>
    <t>average</t>
  </si>
  <si>
    <t>Customer Support</t>
  </si>
  <si>
    <t>Southeast</t>
  </si>
  <si>
    <t>Operations and production</t>
  </si>
  <si>
    <t>Midwest</t>
  </si>
  <si>
    <t>Richard</t>
  </si>
  <si>
    <t>Southwest</t>
  </si>
  <si>
    <t>Finance</t>
  </si>
  <si>
    <t>David</t>
  </si>
  <si>
    <t>Jennifer</t>
  </si>
  <si>
    <t>Robert</t>
  </si>
  <si>
    <t>Michael</t>
  </si>
  <si>
    <t>Joseph</t>
  </si>
  <si>
    <t>Leadership</t>
  </si>
  <si>
    <t>Christopher</t>
  </si>
  <si>
    <t>John</t>
  </si>
  <si>
    <t>Human Resources</t>
  </si>
  <si>
    <t>Timothy</t>
  </si>
  <si>
    <t>William</t>
  </si>
  <si>
    <t>Department</t>
  </si>
  <si>
    <t>UnderPaid</t>
  </si>
  <si>
    <t>32 - 36</t>
  </si>
  <si>
    <t>Paid Equal</t>
  </si>
  <si>
    <t>More Than 50</t>
  </si>
  <si>
    <t>42 - 46</t>
  </si>
  <si>
    <t>37 - 41</t>
  </si>
  <si>
    <t>26 - 31</t>
  </si>
  <si>
    <t>25 - 21</t>
  </si>
  <si>
    <t>47 - 50</t>
  </si>
  <si>
    <t>Paid More</t>
  </si>
  <si>
    <t>Less Than 20</t>
  </si>
  <si>
    <t>Count of ID</t>
  </si>
  <si>
    <t>Average of Tenure</t>
  </si>
  <si>
    <t>Sum of Salary</t>
  </si>
  <si>
    <t>Average of Hours</t>
  </si>
  <si>
    <t>Average of Age</t>
  </si>
  <si>
    <t>Row Labels</t>
  </si>
  <si>
    <t>Grand Total</t>
  </si>
  <si>
    <t>Column Labels</t>
  </si>
  <si>
    <t xml:space="preserve">Sum of Total Salary (M) </t>
  </si>
  <si>
    <t>Count Department</t>
  </si>
  <si>
    <t>Count Region</t>
  </si>
  <si>
    <t>Average Salary</t>
  </si>
  <si>
    <t>Salary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</si>
</sst>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0.0"/>
    <numFmt numFmtId="165" formatCode="_(* #,##0.0_);_(* \(#,##0.0\);_(* &quot;-&quot;??_);_(@_)"/>
    <numFmt numFmtId="166" formatCode="_(* #,##0_);_(* \(#,##0\);_(* &quot;-&quot;??_);_(@_)"/>
  </numFmts>
  <fonts count="3" x14ac:knownFonts="1">
    <font>
      <sz val="10"/>
      <color rgb="FF000000"/>
      <name val="Tw Cen MT"/>
      <scheme val="minor"/>
    </font>
    <font>
      <sz val="10"/>
      <color rgb="FF000000"/>
      <name val="Bahnschrift"/>
      <family val="2"/>
    </font>
    <font>
      <sz val="12"/>
      <color rgb="FF000000"/>
      <name val="Bahnschrift"/>
      <family val="2"/>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20">
    <xf numFmtId="0" fontId="0" fillId="0" borderId="0" xfId="0"/>
    <xf numFmtId="1" fontId="0" fillId="0" borderId="0" xfId="0" applyNumberFormat="1"/>
    <xf numFmtId="0" fontId="0" fillId="0" borderId="0" xfId="0"/>
    <xf numFmtId="0" fontId="0" fillId="0" borderId="0" xfId="0" applyNumberFormat="1"/>
    <xf numFmtId="2" fontId="0" fillId="0" borderId="0" xfId="0" applyNumberFormat="1"/>
    <xf numFmtId="43" fontId="0" fillId="0" borderId="0" xfId="0" applyNumberFormat="1"/>
    <xf numFmtId="166" fontId="0" fillId="0" borderId="0" xfId="0" applyNumberFormat="1"/>
    <xf numFmtId="0" fontId="1" fillId="0" borderId="0" xfId="0" applyNumberFormat="1" applyFont="1"/>
    <xf numFmtId="166" fontId="1" fillId="0" borderId="0" xfId="0" applyNumberFormat="1" applyFont="1"/>
    <xf numFmtId="0" fontId="0" fillId="0" borderId="0" xfId="0" pivotButton="1"/>
    <xf numFmtId="0" fontId="0" fillId="0" borderId="0" xfId="0" applyAlignment="1">
      <alignment horizontal="left"/>
    </xf>
    <xf numFmtId="165" fontId="1" fillId="0" borderId="0" xfId="0" applyNumberFormat="1" applyFont="1"/>
    <xf numFmtId="0" fontId="1" fillId="0" borderId="0" xfId="0" applyFont="1" applyAlignment="1">
      <alignment horizontal="left"/>
    </xf>
    <xf numFmtId="0" fontId="0" fillId="2" borderId="0" xfId="0" applyFill="1"/>
    <xf numFmtId="0" fontId="2" fillId="0" borderId="0" xfId="0" applyNumberFormat="1" applyFont="1"/>
    <xf numFmtId="164" fontId="2" fillId="0" borderId="0" xfId="0" applyNumberFormat="1" applyFont="1"/>
    <xf numFmtId="166" fontId="2" fillId="0" borderId="0" xfId="0" applyNumberFormat="1" applyFont="1"/>
    <xf numFmtId="10" fontId="0" fillId="0" borderId="0" xfId="0" applyNumberFormat="1"/>
    <xf numFmtId="10" fontId="1" fillId="0" borderId="0" xfId="0" applyNumberFormat="1" applyFont="1"/>
    <xf numFmtId="0" fontId="0" fillId="3" borderId="0" xfId="0" applyFill="1"/>
  </cellXfs>
  <cellStyles count="1">
    <cellStyle name="Normal" xfId="0" builtinId="0"/>
  </cellStyles>
  <dxfs count="26">
    <dxf>
      <numFmt numFmtId="35" formatCode="_(* #,##0.00_);_(* \(#,##0.00\);_(* &quot;-&quot;??_);_(@_)"/>
    </dxf>
    <dxf>
      <numFmt numFmtId="166" formatCode="_(* #,##0_);_(* \(#,##0\);_(* &quot;-&quot;??_);_(@_)"/>
    </dxf>
    <dxf>
      <numFmt numFmtId="166" formatCode="_(* #,##0_);_(* \(#,##0\);_(* &quot;-&quot;??_);_(@_)"/>
    </dxf>
    <dxf>
      <font>
        <name val="Bahnschrift"/>
        <family val="2"/>
        <scheme val="none"/>
      </font>
    </dxf>
    <dxf>
      <numFmt numFmtId="166" formatCode="_(* #,##0_);_(* \(#,##0\);_(* &quot;-&quot;??_);_(@_)"/>
    </dxf>
    <dxf>
      <numFmt numFmtId="166" formatCode="_(* #,##0_);_(* \(#,##0\);_(* &quot;-&quot;??_);_(@_)"/>
    </dxf>
    <dxf>
      <numFmt numFmtId="165" formatCode="_(* #,##0.0_);_(* \(#,##0.0\);_(* &quot;-&quot;??_);_(@_)"/>
    </dxf>
    <dxf>
      <font>
        <name val="Bahnschrift"/>
        <family val="2"/>
        <scheme val="none"/>
      </font>
    </dxf>
    <dxf>
      <numFmt numFmtId="166" formatCode="_(* #,##0_);_(* \(#,##0\);_(* &quot;-&quot;??_);_(@_)"/>
    </dxf>
    <dxf>
      <font>
        <name val="Bahnschrift"/>
        <family val="2"/>
        <scheme val="none"/>
      </font>
    </dxf>
    <dxf>
      <numFmt numFmtId="2" formatCode="0.00"/>
    </dxf>
    <dxf>
      <numFmt numFmtId="1" formatCode="0"/>
    </dxf>
    <dxf>
      <numFmt numFmtId="14" formatCode="0.00%"/>
    </dxf>
    <dxf>
      <numFmt numFmtId="166" formatCode="_(* #,##0_);_(* \(#,##0\);_(* &quot;-&quot;??_);_(@_)"/>
    </dxf>
    <dxf>
      <font>
        <sz val="12"/>
      </font>
    </dxf>
    <dxf>
      <font>
        <sz val="12"/>
      </font>
    </dxf>
    <dxf>
      <font>
        <name val="Bahnschrift"/>
        <family val="2"/>
        <scheme val="none"/>
      </font>
    </dxf>
    <dxf>
      <numFmt numFmtId="164" formatCode="0.0"/>
    </dxf>
    <dxf>
      <numFmt numFmtId="166" formatCode="_(* #,##0_);_(* \(#,##0\);_(* &quot;-&quot;??_);_(@_)"/>
    </dxf>
    <dxf>
      <numFmt numFmtId="164" formatCode="0.0"/>
    </dxf>
    <dxf>
      <font>
        <name val="Bahnschrift"/>
        <family val="2"/>
        <scheme val="none"/>
      </font>
    </dxf>
    <dxf>
      <numFmt numFmtId="14" formatCode="0.00%"/>
    </dxf>
    <dxf>
      <font>
        <name val="Bahnschrift"/>
        <family val="2"/>
        <scheme val="none"/>
      </font>
    </dxf>
    <dxf>
      <numFmt numFmtId="166" formatCode="_(* #,##0_);_(* \(#,##0\);_(* &quot;-&quot;??_);_(@_)"/>
    </dxf>
    <dxf>
      <font>
        <b/>
        <color theme="1"/>
      </font>
      <border diagonalUp="0" diagonalDown="0">
        <left/>
        <right/>
        <top/>
        <bottom/>
        <vertical/>
        <horizontal/>
      </border>
    </dxf>
    <dxf>
      <font>
        <color theme="1"/>
        <name val="Bahnschrift"/>
        <family val="2"/>
        <scheme val="none"/>
      </font>
      <fill>
        <patternFill patternType="none">
          <bgColor auto="1"/>
        </patternFill>
      </fill>
      <border diagonalUp="0" diagonalDown="0">
        <left/>
        <right/>
        <top/>
        <bottom/>
        <vertical/>
        <horizontal/>
      </border>
    </dxf>
  </dxfs>
  <tableStyles count="1" defaultTableStyle="TableStyleMedium2" defaultPivotStyle="PivotStyleLight16">
    <tableStyle name="SlicerStyleLight1 2" pivot="0" table="0" count="10" xr9:uid="{4359EF54-F6C8-468E-A7CF-279AE79C32FC}">
      <tableStyleElement type="wholeTable" dxfId="25"/>
      <tableStyleElement type="headerRow" dxfId="24"/>
    </tableStyle>
  </tableStyles>
  <colors>
    <mruColors>
      <color rgb="FF002E8A"/>
      <color rgb="FF7F7F7F"/>
      <color rgb="FF99663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c:f>
              <c:strCache>
                <c:ptCount val="1"/>
                <c:pt idx="0">
                  <c:v>Total</c:v>
                </c:pt>
              </c:strCache>
            </c:strRef>
          </c:tx>
          <c:spPr>
            <a:solidFill>
              <a:schemeClr val="accent1"/>
            </a:solidFill>
            <a:ln>
              <a:noFill/>
            </a:ln>
            <a:effectLst/>
          </c:spPr>
          <c:invertIfNegative val="0"/>
          <c:cat>
            <c:strRef>
              <c:f>'Pivot Table'!$A$10:$A$17</c:f>
              <c:strCache>
                <c:ptCount val="7"/>
                <c:pt idx="0">
                  <c:v>Sales</c:v>
                </c:pt>
                <c:pt idx="1">
                  <c:v>Customer Support</c:v>
                </c:pt>
                <c:pt idx="2">
                  <c:v>Operations and production</c:v>
                </c:pt>
                <c:pt idx="3">
                  <c:v>Marketing</c:v>
                </c:pt>
                <c:pt idx="4">
                  <c:v>Finance</c:v>
                </c:pt>
                <c:pt idx="5">
                  <c:v>Human Resources</c:v>
                </c:pt>
                <c:pt idx="6">
                  <c:v>Leadership</c:v>
                </c:pt>
              </c:strCache>
            </c:strRef>
          </c:cat>
          <c:val>
            <c:numRef>
              <c:f>'Pivot Table'!$B$10:$B$17</c:f>
              <c:numCache>
                <c:formatCode>_(* #,##0.0_);_(* \(#,##0.0\);_(* "-"??_);_(@_)</c:formatCode>
                <c:ptCount val="7"/>
                <c:pt idx="0">
                  <c:v>18.377202749999999</c:v>
                </c:pt>
                <c:pt idx="1">
                  <c:v>18.029896050000001</c:v>
                </c:pt>
                <c:pt idx="2">
                  <c:v>15.418263199999997</c:v>
                </c:pt>
                <c:pt idx="3">
                  <c:v>6.0496040999999998</c:v>
                </c:pt>
                <c:pt idx="4">
                  <c:v>4.0099584999999998</c:v>
                </c:pt>
                <c:pt idx="5">
                  <c:v>1.8835164</c:v>
                </c:pt>
                <c:pt idx="6">
                  <c:v>1.4943924499999999</c:v>
                </c:pt>
              </c:numCache>
            </c:numRef>
          </c:val>
          <c:extLst>
            <c:ext xmlns:c16="http://schemas.microsoft.com/office/drawing/2014/chart" uri="{C3380CC4-5D6E-409C-BE32-E72D297353CC}">
              <c16:uniqueId val="{00000000-6F09-4825-B74D-523222798C08}"/>
            </c:ext>
          </c:extLst>
        </c:ser>
        <c:dLbls>
          <c:showLegendKey val="0"/>
          <c:showVal val="0"/>
          <c:showCatName val="0"/>
          <c:showSerName val="0"/>
          <c:showPercent val="0"/>
          <c:showBubbleSize val="0"/>
        </c:dLbls>
        <c:gapWidth val="219"/>
        <c:overlap val="-27"/>
        <c:axId val="1856374031"/>
        <c:axId val="1856377775"/>
      </c:barChart>
      <c:catAx>
        <c:axId val="185637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377775"/>
        <c:crosses val="autoZero"/>
        <c:auto val="1"/>
        <c:lblAlgn val="ctr"/>
        <c:lblOffset val="100"/>
        <c:noMultiLvlLbl val="0"/>
      </c:catAx>
      <c:valAx>
        <c:axId val="1856377775"/>
        <c:scaling>
          <c:orientation val="minMax"/>
        </c:scaling>
        <c:delete val="1"/>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crossAx val="1856374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Employees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Table'!$E$9</c:f>
              <c:strCache>
                <c:ptCount val="1"/>
                <c:pt idx="0">
                  <c:v>Total</c:v>
                </c:pt>
              </c:strCache>
            </c:strRef>
          </c:tx>
          <c:spPr>
            <a:solidFill>
              <a:schemeClr val="accent1"/>
            </a:solidFill>
            <a:ln>
              <a:noFill/>
            </a:ln>
            <a:effectLst/>
          </c:spPr>
          <c:invertIfNegative val="0"/>
          <c:cat>
            <c:strRef>
              <c:f>'Pivot Table'!$D$10:$D$15</c:f>
              <c:strCache>
                <c:ptCount val="5"/>
                <c:pt idx="0">
                  <c:v>West</c:v>
                </c:pt>
                <c:pt idx="1">
                  <c:v>Midwest</c:v>
                </c:pt>
                <c:pt idx="2">
                  <c:v>Southeast</c:v>
                </c:pt>
                <c:pt idx="3">
                  <c:v>Southwest</c:v>
                </c:pt>
                <c:pt idx="4">
                  <c:v>Northeast</c:v>
                </c:pt>
              </c:strCache>
            </c:strRef>
          </c:cat>
          <c:val>
            <c:numRef>
              <c:f>'Pivot Table'!$E$10:$E$15</c:f>
              <c:numCache>
                <c:formatCode>_(* #,##0_);_(* \(#,##0\);_(* "-"??_);_(@_)</c:formatCode>
                <c:ptCount val="5"/>
                <c:pt idx="0">
                  <c:v>197</c:v>
                </c:pt>
                <c:pt idx="1">
                  <c:v>167</c:v>
                </c:pt>
                <c:pt idx="2">
                  <c:v>161</c:v>
                </c:pt>
                <c:pt idx="3">
                  <c:v>160</c:v>
                </c:pt>
                <c:pt idx="4">
                  <c:v>150</c:v>
                </c:pt>
              </c:numCache>
            </c:numRef>
          </c:val>
          <c:extLst>
            <c:ext xmlns:c16="http://schemas.microsoft.com/office/drawing/2014/chart" uri="{C3380CC4-5D6E-409C-BE32-E72D297353CC}">
              <c16:uniqueId val="{00000000-1956-4EBA-ACF6-81F217D32C7C}"/>
            </c:ext>
          </c:extLst>
        </c:ser>
        <c:dLbls>
          <c:showLegendKey val="0"/>
          <c:showVal val="0"/>
          <c:showCatName val="0"/>
          <c:showSerName val="0"/>
          <c:showPercent val="0"/>
          <c:showBubbleSize val="0"/>
        </c:dLbls>
        <c:gapWidth val="182"/>
        <c:axId val="1861669935"/>
        <c:axId val="1861670767"/>
      </c:barChart>
      <c:catAx>
        <c:axId val="186166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670767"/>
        <c:crosses val="autoZero"/>
        <c:auto val="1"/>
        <c:lblAlgn val="ctr"/>
        <c:lblOffset val="100"/>
        <c:noMultiLvlLbl val="0"/>
      </c:catAx>
      <c:valAx>
        <c:axId val="1861670767"/>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66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Table'!$J$9:$J$10</c:f>
              <c:strCache>
                <c:ptCount val="1"/>
                <c:pt idx="0">
                  <c:v>bottom</c:v>
                </c:pt>
              </c:strCache>
            </c:strRef>
          </c:tx>
          <c:spPr>
            <a:solidFill>
              <a:schemeClr val="accent1"/>
            </a:solidFill>
            <a:ln>
              <a:noFill/>
            </a:ln>
            <a:effectLst/>
          </c:spPr>
          <c:invertIfNegative val="0"/>
          <c:cat>
            <c:strRef>
              <c:f>'Pivot Table'!$I$11:$I$18</c:f>
              <c:strCache>
                <c:ptCount val="7"/>
                <c:pt idx="0">
                  <c:v>Customer Support</c:v>
                </c:pt>
                <c:pt idx="1">
                  <c:v>Finance</c:v>
                </c:pt>
                <c:pt idx="2">
                  <c:v>Human Resources</c:v>
                </c:pt>
                <c:pt idx="3">
                  <c:v>Leadership</c:v>
                </c:pt>
                <c:pt idx="4">
                  <c:v>Marketing</c:v>
                </c:pt>
                <c:pt idx="5">
                  <c:v>Operations and production</c:v>
                </c:pt>
                <c:pt idx="6">
                  <c:v>Sales</c:v>
                </c:pt>
              </c:strCache>
            </c:strRef>
          </c:cat>
          <c:val>
            <c:numRef>
              <c:f>'Pivot Table'!$J$11:$J$18</c:f>
              <c:numCache>
                <c:formatCode>0.00%</c:formatCode>
                <c:ptCount val="7"/>
                <c:pt idx="0">
                  <c:v>0.26008968609865468</c:v>
                </c:pt>
                <c:pt idx="1">
                  <c:v>0.52083333333333337</c:v>
                </c:pt>
                <c:pt idx="2">
                  <c:v>0.31034482758620691</c:v>
                </c:pt>
                <c:pt idx="3">
                  <c:v>0.4</c:v>
                </c:pt>
                <c:pt idx="4">
                  <c:v>0.34090909090909088</c:v>
                </c:pt>
                <c:pt idx="5">
                  <c:v>0.31034482758620691</c:v>
                </c:pt>
                <c:pt idx="6">
                  <c:v>0.22767857142857142</c:v>
                </c:pt>
              </c:numCache>
            </c:numRef>
          </c:val>
          <c:extLst>
            <c:ext xmlns:c16="http://schemas.microsoft.com/office/drawing/2014/chart" uri="{C3380CC4-5D6E-409C-BE32-E72D297353CC}">
              <c16:uniqueId val="{00000000-C425-4F2B-989D-9F7B0CCC4651}"/>
            </c:ext>
          </c:extLst>
        </c:ser>
        <c:ser>
          <c:idx val="1"/>
          <c:order val="1"/>
          <c:tx>
            <c:strRef>
              <c:f>'Pivot Table'!$K$9:$K$10</c:f>
              <c:strCache>
                <c:ptCount val="1"/>
                <c:pt idx="0">
                  <c:v>average</c:v>
                </c:pt>
              </c:strCache>
            </c:strRef>
          </c:tx>
          <c:spPr>
            <a:solidFill>
              <a:schemeClr val="accent2"/>
            </a:solidFill>
            <a:ln>
              <a:noFill/>
            </a:ln>
            <a:effectLst/>
          </c:spPr>
          <c:invertIfNegative val="0"/>
          <c:cat>
            <c:strRef>
              <c:f>'Pivot Table'!$I$11:$I$18</c:f>
              <c:strCache>
                <c:ptCount val="7"/>
                <c:pt idx="0">
                  <c:v>Customer Support</c:v>
                </c:pt>
                <c:pt idx="1">
                  <c:v>Finance</c:v>
                </c:pt>
                <c:pt idx="2">
                  <c:v>Human Resources</c:v>
                </c:pt>
                <c:pt idx="3">
                  <c:v>Leadership</c:v>
                </c:pt>
                <c:pt idx="4">
                  <c:v>Marketing</c:v>
                </c:pt>
                <c:pt idx="5">
                  <c:v>Operations and production</c:v>
                </c:pt>
                <c:pt idx="6">
                  <c:v>Sales</c:v>
                </c:pt>
              </c:strCache>
            </c:strRef>
          </c:cat>
          <c:val>
            <c:numRef>
              <c:f>'Pivot Table'!$K$11:$K$18</c:f>
              <c:numCache>
                <c:formatCode>0.00%</c:formatCode>
                <c:ptCount val="7"/>
                <c:pt idx="0">
                  <c:v>0.44394618834080718</c:v>
                </c:pt>
                <c:pt idx="1">
                  <c:v>0.375</c:v>
                </c:pt>
                <c:pt idx="2">
                  <c:v>0.65517241379310343</c:v>
                </c:pt>
                <c:pt idx="3">
                  <c:v>0.4</c:v>
                </c:pt>
                <c:pt idx="4">
                  <c:v>0.43181818181818182</c:v>
                </c:pt>
                <c:pt idx="5">
                  <c:v>0.45812807881773399</c:v>
                </c:pt>
                <c:pt idx="6">
                  <c:v>0.45089285714285715</c:v>
                </c:pt>
              </c:numCache>
            </c:numRef>
          </c:val>
          <c:extLst>
            <c:ext xmlns:c16="http://schemas.microsoft.com/office/drawing/2014/chart" uri="{C3380CC4-5D6E-409C-BE32-E72D297353CC}">
              <c16:uniqueId val="{00000001-C425-4F2B-989D-9F7B0CCC4651}"/>
            </c:ext>
          </c:extLst>
        </c:ser>
        <c:ser>
          <c:idx val="2"/>
          <c:order val="2"/>
          <c:tx>
            <c:strRef>
              <c:f>'Pivot Table'!$L$9:$L$10</c:f>
              <c:strCache>
                <c:ptCount val="1"/>
                <c:pt idx="0">
                  <c:v>top</c:v>
                </c:pt>
              </c:strCache>
            </c:strRef>
          </c:tx>
          <c:spPr>
            <a:solidFill>
              <a:schemeClr val="accent3"/>
            </a:solidFill>
            <a:ln>
              <a:noFill/>
            </a:ln>
            <a:effectLst/>
          </c:spPr>
          <c:invertIfNegative val="0"/>
          <c:cat>
            <c:strRef>
              <c:f>'Pivot Table'!$I$11:$I$18</c:f>
              <c:strCache>
                <c:ptCount val="7"/>
                <c:pt idx="0">
                  <c:v>Customer Support</c:v>
                </c:pt>
                <c:pt idx="1">
                  <c:v>Finance</c:v>
                </c:pt>
                <c:pt idx="2">
                  <c:v>Human Resources</c:v>
                </c:pt>
                <c:pt idx="3">
                  <c:v>Leadership</c:v>
                </c:pt>
                <c:pt idx="4">
                  <c:v>Marketing</c:v>
                </c:pt>
                <c:pt idx="5">
                  <c:v>Operations and production</c:v>
                </c:pt>
                <c:pt idx="6">
                  <c:v>Sales</c:v>
                </c:pt>
              </c:strCache>
            </c:strRef>
          </c:cat>
          <c:val>
            <c:numRef>
              <c:f>'Pivot Table'!$L$11:$L$18</c:f>
              <c:numCache>
                <c:formatCode>0.00%</c:formatCode>
                <c:ptCount val="7"/>
                <c:pt idx="0">
                  <c:v>0.29596412556053814</c:v>
                </c:pt>
                <c:pt idx="1">
                  <c:v>0.10416666666666667</c:v>
                </c:pt>
                <c:pt idx="2">
                  <c:v>3.4482758620689655E-2</c:v>
                </c:pt>
                <c:pt idx="3">
                  <c:v>0.2</c:v>
                </c:pt>
                <c:pt idx="4">
                  <c:v>0.22727272727272727</c:v>
                </c:pt>
                <c:pt idx="5">
                  <c:v>0.23152709359605911</c:v>
                </c:pt>
                <c:pt idx="6">
                  <c:v>0.32142857142857145</c:v>
                </c:pt>
              </c:numCache>
            </c:numRef>
          </c:val>
          <c:extLst>
            <c:ext xmlns:c16="http://schemas.microsoft.com/office/drawing/2014/chart" uri="{C3380CC4-5D6E-409C-BE32-E72D297353CC}">
              <c16:uniqueId val="{00000002-C425-4F2B-989D-9F7B0CCC4651}"/>
            </c:ext>
          </c:extLst>
        </c:ser>
        <c:dLbls>
          <c:showLegendKey val="0"/>
          <c:showVal val="0"/>
          <c:showCatName val="0"/>
          <c:showSerName val="0"/>
          <c:showPercent val="0"/>
          <c:showBubbleSize val="0"/>
        </c:dLbls>
        <c:gapWidth val="150"/>
        <c:overlap val="100"/>
        <c:axId val="500721871"/>
        <c:axId val="500716463"/>
      </c:barChart>
      <c:catAx>
        <c:axId val="50072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16463"/>
        <c:crosses val="autoZero"/>
        <c:auto val="1"/>
        <c:lblAlgn val="ctr"/>
        <c:lblOffset val="100"/>
        <c:noMultiLvlLbl val="0"/>
      </c:catAx>
      <c:valAx>
        <c:axId val="5007164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2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Table'!$Y$13:$Y$14</c:f>
              <c:strCache>
                <c:ptCount val="1"/>
                <c:pt idx="0">
                  <c:v>F</c:v>
                </c:pt>
              </c:strCache>
            </c:strRef>
          </c:tx>
          <c:spPr>
            <a:solidFill>
              <a:schemeClr val="accent1"/>
            </a:solidFill>
            <a:ln>
              <a:noFill/>
            </a:ln>
            <a:effectLst/>
          </c:spPr>
          <c:invertIfNegative val="0"/>
          <c:cat>
            <c:strRef>
              <c:f>'Pivot Table'!$X$15:$X$18</c:f>
              <c:strCache>
                <c:ptCount val="3"/>
                <c:pt idx="0">
                  <c:v>Paid Equal</c:v>
                </c:pt>
                <c:pt idx="1">
                  <c:v>Paid More</c:v>
                </c:pt>
                <c:pt idx="2">
                  <c:v>UnderPaid</c:v>
                </c:pt>
              </c:strCache>
            </c:strRef>
          </c:cat>
          <c:val>
            <c:numRef>
              <c:f>'Pivot Table'!$Y$15:$Y$18</c:f>
              <c:numCache>
                <c:formatCode>0.00%</c:formatCode>
                <c:ptCount val="3"/>
                <c:pt idx="0">
                  <c:v>0.36440677966101692</c:v>
                </c:pt>
                <c:pt idx="1">
                  <c:v>0.33333333333333331</c:v>
                </c:pt>
                <c:pt idx="2">
                  <c:v>0.51368421052631574</c:v>
                </c:pt>
              </c:numCache>
            </c:numRef>
          </c:val>
          <c:extLst>
            <c:ext xmlns:c16="http://schemas.microsoft.com/office/drawing/2014/chart" uri="{C3380CC4-5D6E-409C-BE32-E72D297353CC}">
              <c16:uniqueId val="{00000000-5286-43F5-BDA9-69FCF52834B2}"/>
            </c:ext>
          </c:extLst>
        </c:ser>
        <c:ser>
          <c:idx val="1"/>
          <c:order val="1"/>
          <c:tx>
            <c:strRef>
              <c:f>'Pivot Table'!$Z$13:$Z$14</c:f>
              <c:strCache>
                <c:ptCount val="1"/>
                <c:pt idx="0">
                  <c:v>M</c:v>
                </c:pt>
              </c:strCache>
            </c:strRef>
          </c:tx>
          <c:spPr>
            <a:solidFill>
              <a:schemeClr val="accent2"/>
            </a:solidFill>
            <a:ln>
              <a:noFill/>
            </a:ln>
            <a:effectLst/>
          </c:spPr>
          <c:invertIfNegative val="0"/>
          <c:cat>
            <c:strRef>
              <c:f>'Pivot Table'!$X$15:$X$18</c:f>
              <c:strCache>
                <c:ptCount val="3"/>
                <c:pt idx="0">
                  <c:v>Paid Equal</c:v>
                </c:pt>
                <c:pt idx="1">
                  <c:v>Paid More</c:v>
                </c:pt>
                <c:pt idx="2">
                  <c:v>UnderPaid</c:v>
                </c:pt>
              </c:strCache>
            </c:strRef>
          </c:cat>
          <c:val>
            <c:numRef>
              <c:f>'Pivot Table'!$Z$15:$Z$18</c:f>
              <c:numCache>
                <c:formatCode>0.00%</c:formatCode>
                <c:ptCount val="3"/>
                <c:pt idx="0">
                  <c:v>0.63559322033898302</c:v>
                </c:pt>
                <c:pt idx="1">
                  <c:v>0.66666666666666663</c:v>
                </c:pt>
                <c:pt idx="2">
                  <c:v>0.4863157894736842</c:v>
                </c:pt>
              </c:numCache>
            </c:numRef>
          </c:val>
          <c:extLst>
            <c:ext xmlns:c16="http://schemas.microsoft.com/office/drawing/2014/chart" uri="{C3380CC4-5D6E-409C-BE32-E72D297353CC}">
              <c16:uniqueId val="{00000001-5286-43F5-BDA9-69FCF52834B2}"/>
            </c:ext>
          </c:extLst>
        </c:ser>
        <c:dLbls>
          <c:showLegendKey val="0"/>
          <c:showVal val="0"/>
          <c:showCatName val="0"/>
          <c:showSerName val="0"/>
          <c:showPercent val="0"/>
          <c:showBubbleSize val="0"/>
        </c:dLbls>
        <c:gapWidth val="150"/>
        <c:overlap val="100"/>
        <c:axId val="1855252911"/>
        <c:axId val="1855254575"/>
      </c:barChart>
      <c:catAx>
        <c:axId val="185525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254575"/>
        <c:crosses val="autoZero"/>
        <c:auto val="1"/>
        <c:lblAlgn val="ctr"/>
        <c:lblOffset val="100"/>
        <c:noMultiLvlLbl val="0"/>
      </c:catAx>
      <c:valAx>
        <c:axId val="18552545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25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Table'!$AH$16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1E-48CA-9F43-C2D2997108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1E-48CA-9F43-C2D29971082F}"/>
              </c:ext>
            </c:extLst>
          </c:dPt>
          <c:cat>
            <c:strRef>
              <c:f>'Pivot Table'!$AG$17:$AG$19</c:f>
              <c:strCache>
                <c:ptCount val="2"/>
                <c:pt idx="0">
                  <c:v>F</c:v>
                </c:pt>
                <c:pt idx="1">
                  <c:v>M</c:v>
                </c:pt>
              </c:strCache>
            </c:strRef>
          </c:cat>
          <c:val>
            <c:numRef>
              <c:f>'Pivot Table'!$AH$17:$AH$19</c:f>
              <c:numCache>
                <c:formatCode>General</c:formatCode>
                <c:ptCount val="2"/>
                <c:pt idx="0">
                  <c:v>375</c:v>
                </c:pt>
                <c:pt idx="1">
                  <c:v>460</c:v>
                </c:pt>
              </c:numCache>
            </c:numRef>
          </c:val>
          <c:extLst>
            <c:ext xmlns:c16="http://schemas.microsoft.com/office/drawing/2014/chart" uri="{C3380CC4-5D6E-409C-BE32-E72D297353CC}">
              <c16:uniqueId val="{00000000-1FCC-4813-8003-19692472581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Table'!$C$48</c:f>
              <c:strCache>
                <c:ptCount val="1"/>
                <c:pt idx="0">
                  <c:v>Total</c:v>
                </c:pt>
              </c:strCache>
            </c:strRef>
          </c:tx>
          <c:spPr>
            <a:solidFill>
              <a:schemeClr val="accent1"/>
            </a:solidFill>
            <a:ln>
              <a:noFill/>
            </a:ln>
            <a:effectLst/>
          </c:spPr>
          <c:invertIfNegative val="0"/>
          <c:cat>
            <c:strRef>
              <c:f>'Pivot Table'!$B$49:$B$56</c:f>
              <c:strCache>
                <c:ptCount val="7"/>
                <c:pt idx="0">
                  <c:v>Sales</c:v>
                </c:pt>
                <c:pt idx="1">
                  <c:v>Customer Support</c:v>
                </c:pt>
                <c:pt idx="2">
                  <c:v>Operations and production</c:v>
                </c:pt>
                <c:pt idx="3">
                  <c:v>Marketing</c:v>
                </c:pt>
                <c:pt idx="4">
                  <c:v>Finance</c:v>
                </c:pt>
                <c:pt idx="5">
                  <c:v>Human Resources</c:v>
                </c:pt>
                <c:pt idx="6">
                  <c:v>Leadership</c:v>
                </c:pt>
              </c:strCache>
            </c:strRef>
          </c:cat>
          <c:val>
            <c:numRef>
              <c:f>'Pivot Table'!$C$49:$C$56</c:f>
              <c:numCache>
                <c:formatCode>General</c:formatCode>
                <c:ptCount val="7"/>
                <c:pt idx="0">
                  <c:v>224</c:v>
                </c:pt>
                <c:pt idx="1">
                  <c:v>223</c:v>
                </c:pt>
                <c:pt idx="2">
                  <c:v>203</c:v>
                </c:pt>
                <c:pt idx="3">
                  <c:v>88</c:v>
                </c:pt>
                <c:pt idx="4">
                  <c:v>48</c:v>
                </c:pt>
                <c:pt idx="5">
                  <c:v>29</c:v>
                </c:pt>
                <c:pt idx="6">
                  <c:v>20</c:v>
                </c:pt>
              </c:numCache>
            </c:numRef>
          </c:val>
          <c:extLst>
            <c:ext xmlns:c16="http://schemas.microsoft.com/office/drawing/2014/chart" uri="{C3380CC4-5D6E-409C-BE32-E72D297353CC}">
              <c16:uniqueId val="{00000002-9F6C-49A5-AA2F-2CE9EF196E90}"/>
            </c:ext>
          </c:extLst>
        </c:ser>
        <c:dLbls>
          <c:showLegendKey val="0"/>
          <c:showVal val="0"/>
          <c:showCatName val="0"/>
          <c:showSerName val="0"/>
          <c:showPercent val="0"/>
          <c:showBubbleSize val="0"/>
        </c:dLbls>
        <c:gapWidth val="150"/>
        <c:overlap val="100"/>
        <c:axId val="1927503839"/>
        <c:axId val="1927499263"/>
      </c:barChart>
      <c:catAx>
        <c:axId val="192750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499263"/>
        <c:crosses val="autoZero"/>
        <c:auto val="1"/>
        <c:lblAlgn val="ctr"/>
        <c:lblOffset val="100"/>
        <c:noMultiLvlLbl val="0"/>
      </c:catAx>
      <c:valAx>
        <c:axId val="1927499263"/>
        <c:scaling>
          <c:orientation val="minMax"/>
        </c:scaling>
        <c:delete val="1"/>
        <c:axPos val="l"/>
        <c:numFmt formatCode="General" sourceLinked="1"/>
        <c:majorTickMark val="none"/>
        <c:minorTickMark val="none"/>
        <c:tickLblPos val="nextTo"/>
        <c:crossAx val="1927503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Table'!$G$48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Table'!$F$49:$F$59</c:f>
              <c:strCache>
                <c:ptCount val="10"/>
                <c:pt idx="0">
                  <c:v>Michael</c:v>
                </c:pt>
                <c:pt idx="1">
                  <c:v>David</c:v>
                </c:pt>
                <c:pt idx="2">
                  <c:v>Christopher</c:v>
                </c:pt>
                <c:pt idx="3">
                  <c:v>John</c:v>
                </c:pt>
                <c:pt idx="4">
                  <c:v>William</c:v>
                </c:pt>
                <c:pt idx="5">
                  <c:v>Robert</c:v>
                </c:pt>
                <c:pt idx="6">
                  <c:v>Timothy</c:v>
                </c:pt>
                <c:pt idx="7">
                  <c:v>Jennifer</c:v>
                </c:pt>
                <c:pt idx="8">
                  <c:v>Joseph</c:v>
                </c:pt>
                <c:pt idx="9">
                  <c:v>Richard</c:v>
                </c:pt>
              </c:strCache>
            </c:strRef>
          </c:cat>
          <c:val>
            <c:numRef>
              <c:f>'Pivot Table'!$G$49:$G$59</c:f>
              <c:numCache>
                <c:formatCode>_(* #,##0.00_);_(* \(#,##0.00\);_(* "-"??_);_(@_)</c:formatCode>
                <c:ptCount val="10"/>
                <c:pt idx="0">
                  <c:v>1.5290253</c:v>
                </c:pt>
                <c:pt idx="1">
                  <c:v>1.0458215</c:v>
                </c:pt>
                <c:pt idx="2">
                  <c:v>0.99888334999999995</c:v>
                </c:pt>
                <c:pt idx="3">
                  <c:v>0.94834319999999994</c:v>
                </c:pt>
                <c:pt idx="4">
                  <c:v>0.90605000000000002</c:v>
                </c:pt>
                <c:pt idx="5">
                  <c:v>0.86616749999999998</c:v>
                </c:pt>
                <c:pt idx="6">
                  <c:v>0.84608799999999995</c:v>
                </c:pt>
                <c:pt idx="7">
                  <c:v>0.76052980000000003</c:v>
                </c:pt>
                <c:pt idx="8">
                  <c:v>0.74980780000000002</c:v>
                </c:pt>
                <c:pt idx="9">
                  <c:v>0.67882299999999995</c:v>
                </c:pt>
              </c:numCache>
            </c:numRef>
          </c:val>
          <c:extLst>
            <c:ext xmlns:c16="http://schemas.microsoft.com/office/drawing/2014/chart" uri="{C3380CC4-5D6E-409C-BE32-E72D297353CC}">
              <c16:uniqueId val="{00000005-F628-4586-8003-C8C9C99FDA7C}"/>
            </c:ext>
          </c:extLst>
        </c:ser>
        <c:dLbls>
          <c:dLblPos val="ctr"/>
          <c:showLegendKey val="0"/>
          <c:showVal val="1"/>
          <c:showCatName val="0"/>
          <c:showSerName val="0"/>
          <c:showPercent val="0"/>
          <c:showBubbleSize val="0"/>
        </c:dLbls>
        <c:gapWidth val="150"/>
        <c:overlap val="100"/>
        <c:axId val="1927508831"/>
        <c:axId val="1927498847"/>
      </c:barChart>
      <c:catAx>
        <c:axId val="192750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498847"/>
        <c:crosses val="autoZero"/>
        <c:auto val="1"/>
        <c:lblAlgn val="ctr"/>
        <c:lblOffset val="100"/>
        <c:noMultiLvlLbl val="0"/>
      </c:catAx>
      <c:valAx>
        <c:axId val="1927498847"/>
        <c:scaling>
          <c:orientation val="minMax"/>
        </c:scaling>
        <c:delete val="1"/>
        <c:axPos val="l"/>
        <c:numFmt formatCode="_(* #,##0.00_);_(* \(#,##0.00\);_(* &quot;-&quot;??_);_(@_)" sourceLinked="1"/>
        <c:majorTickMark val="none"/>
        <c:minorTickMark val="none"/>
        <c:tickLblPos val="nextTo"/>
        <c:crossAx val="1927508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Table!PivotTable12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Table'!$K$49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1D-4417-979B-3AD3041988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1D-4417-979B-3AD3041988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1D-4417-979B-3AD3041988B5}"/>
              </c:ext>
            </c:extLst>
          </c:dPt>
          <c:cat>
            <c:strRef>
              <c:f>'Pivot Table'!$J$50:$J$53</c:f>
              <c:strCache>
                <c:ptCount val="3"/>
                <c:pt idx="0">
                  <c:v>average</c:v>
                </c:pt>
                <c:pt idx="1">
                  <c:v>bottom</c:v>
                </c:pt>
                <c:pt idx="2">
                  <c:v>top</c:v>
                </c:pt>
              </c:strCache>
            </c:strRef>
          </c:cat>
          <c:val>
            <c:numRef>
              <c:f>'Pivot Table'!$K$50:$K$53</c:f>
              <c:numCache>
                <c:formatCode>_(* #,##0_);_(* \(#,##0\);_(* "-"??_);_(@_)</c:formatCode>
                <c:ptCount val="3"/>
                <c:pt idx="0">
                  <c:v>376</c:v>
                </c:pt>
                <c:pt idx="1">
                  <c:v>244</c:v>
                </c:pt>
                <c:pt idx="2">
                  <c:v>215</c:v>
                </c:pt>
              </c:numCache>
            </c:numRef>
          </c:val>
          <c:extLst>
            <c:ext xmlns:c16="http://schemas.microsoft.com/office/drawing/2014/chart" uri="{C3380CC4-5D6E-409C-BE32-E72D297353CC}">
              <c16:uniqueId val="{00000002-BFC9-48C6-AD2F-27E9D2887B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latin typeface="Bahnschrift" panose="020B0502040204020203" pitchFamily="34" charset="0"/>
              </a:rPr>
              <a:t>% Of Performance In Every Department</a:t>
            </a:r>
            <a:endParaRPr lang="en-US" sz="1100">
              <a:effectLst/>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Table'!$B$83:$B$84</c:f>
              <c:strCache>
                <c:ptCount val="1"/>
                <c:pt idx="0">
                  <c:v>F</c:v>
                </c:pt>
              </c:strCache>
            </c:strRef>
          </c:tx>
          <c:spPr>
            <a:solidFill>
              <a:schemeClr val="accent1"/>
            </a:solidFill>
            <a:ln>
              <a:noFill/>
            </a:ln>
            <a:effectLst/>
          </c:spPr>
          <c:invertIfNegative val="0"/>
          <c:cat>
            <c:strRef>
              <c:f>'Pivot Table'!$A$85:$A$93</c:f>
              <c:strCache>
                <c:ptCount val="8"/>
                <c:pt idx="0">
                  <c:v>25 - 21</c:v>
                </c:pt>
                <c:pt idx="1">
                  <c:v>26 - 31</c:v>
                </c:pt>
                <c:pt idx="2">
                  <c:v>32 - 36</c:v>
                </c:pt>
                <c:pt idx="3">
                  <c:v>37 - 41</c:v>
                </c:pt>
                <c:pt idx="4">
                  <c:v>42 - 46</c:v>
                </c:pt>
                <c:pt idx="5">
                  <c:v>47 - 50</c:v>
                </c:pt>
                <c:pt idx="6">
                  <c:v>Less Than 20</c:v>
                </c:pt>
                <c:pt idx="7">
                  <c:v>More Than 50</c:v>
                </c:pt>
              </c:strCache>
            </c:strRef>
          </c:cat>
          <c:val>
            <c:numRef>
              <c:f>'Pivot Table'!$B$85:$B$93</c:f>
              <c:numCache>
                <c:formatCode>0.00%</c:formatCode>
                <c:ptCount val="8"/>
                <c:pt idx="0">
                  <c:v>0.39393939393939392</c:v>
                </c:pt>
                <c:pt idx="1">
                  <c:v>0.41346153846153844</c:v>
                </c:pt>
                <c:pt idx="2">
                  <c:v>0.5304347826086957</c:v>
                </c:pt>
                <c:pt idx="3">
                  <c:v>0.45925925925925926</c:v>
                </c:pt>
                <c:pt idx="4">
                  <c:v>0.42424242424242425</c:v>
                </c:pt>
                <c:pt idx="5">
                  <c:v>0.43617021276595747</c:v>
                </c:pt>
                <c:pt idx="6">
                  <c:v>0</c:v>
                </c:pt>
                <c:pt idx="7">
                  <c:v>0.45</c:v>
                </c:pt>
              </c:numCache>
            </c:numRef>
          </c:val>
          <c:extLst>
            <c:ext xmlns:c16="http://schemas.microsoft.com/office/drawing/2014/chart" uri="{C3380CC4-5D6E-409C-BE32-E72D297353CC}">
              <c16:uniqueId val="{00000003-7E1A-450B-8456-5A496AD3DCDB}"/>
            </c:ext>
          </c:extLst>
        </c:ser>
        <c:ser>
          <c:idx val="1"/>
          <c:order val="1"/>
          <c:tx>
            <c:strRef>
              <c:f>'Pivot Table'!$C$83:$C$84</c:f>
              <c:strCache>
                <c:ptCount val="1"/>
                <c:pt idx="0">
                  <c:v>M</c:v>
                </c:pt>
              </c:strCache>
            </c:strRef>
          </c:tx>
          <c:spPr>
            <a:solidFill>
              <a:schemeClr val="accent2"/>
            </a:solidFill>
            <a:ln>
              <a:noFill/>
            </a:ln>
            <a:effectLst/>
          </c:spPr>
          <c:invertIfNegative val="0"/>
          <c:cat>
            <c:strRef>
              <c:f>'Pivot Table'!$A$85:$A$93</c:f>
              <c:strCache>
                <c:ptCount val="8"/>
                <c:pt idx="0">
                  <c:v>25 - 21</c:v>
                </c:pt>
                <c:pt idx="1">
                  <c:v>26 - 31</c:v>
                </c:pt>
                <c:pt idx="2">
                  <c:v>32 - 36</c:v>
                </c:pt>
                <c:pt idx="3">
                  <c:v>37 - 41</c:v>
                </c:pt>
                <c:pt idx="4">
                  <c:v>42 - 46</c:v>
                </c:pt>
                <c:pt idx="5">
                  <c:v>47 - 50</c:v>
                </c:pt>
                <c:pt idx="6">
                  <c:v>Less Than 20</c:v>
                </c:pt>
                <c:pt idx="7">
                  <c:v>More Than 50</c:v>
                </c:pt>
              </c:strCache>
            </c:strRef>
          </c:cat>
          <c:val>
            <c:numRef>
              <c:f>'Pivot Table'!$C$85:$C$93</c:f>
              <c:numCache>
                <c:formatCode>0.00%</c:formatCode>
                <c:ptCount val="8"/>
                <c:pt idx="0">
                  <c:v>0.60606060606060608</c:v>
                </c:pt>
                <c:pt idx="1">
                  <c:v>0.58653846153846156</c:v>
                </c:pt>
                <c:pt idx="2">
                  <c:v>0.46956521739130436</c:v>
                </c:pt>
                <c:pt idx="3">
                  <c:v>0.54074074074074074</c:v>
                </c:pt>
                <c:pt idx="4">
                  <c:v>0.5757575757575758</c:v>
                </c:pt>
                <c:pt idx="5">
                  <c:v>0.56382978723404253</c:v>
                </c:pt>
                <c:pt idx="6">
                  <c:v>1</c:v>
                </c:pt>
                <c:pt idx="7">
                  <c:v>0.55000000000000004</c:v>
                </c:pt>
              </c:numCache>
            </c:numRef>
          </c:val>
          <c:extLst>
            <c:ext xmlns:c16="http://schemas.microsoft.com/office/drawing/2014/chart" uri="{C3380CC4-5D6E-409C-BE32-E72D297353CC}">
              <c16:uniqueId val="{00000004-7E1A-450B-8456-5A496AD3DCDB}"/>
            </c:ext>
          </c:extLst>
        </c:ser>
        <c:dLbls>
          <c:showLegendKey val="0"/>
          <c:showVal val="0"/>
          <c:showCatName val="0"/>
          <c:showSerName val="0"/>
          <c:showPercent val="0"/>
          <c:showBubbleSize val="0"/>
        </c:dLbls>
        <c:gapWidth val="150"/>
        <c:overlap val="100"/>
        <c:axId val="1855259151"/>
        <c:axId val="1855259983"/>
      </c:barChart>
      <c:catAx>
        <c:axId val="185525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259983"/>
        <c:crosses val="autoZero"/>
        <c:auto val="1"/>
        <c:lblAlgn val="ctr"/>
        <c:lblOffset val="100"/>
        <c:noMultiLvlLbl val="0"/>
      </c:catAx>
      <c:valAx>
        <c:axId val="1855259983"/>
        <c:scaling>
          <c:orientation val="minMax"/>
        </c:scaling>
        <c:delete val="1"/>
        <c:axPos val="b"/>
        <c:numFmt formatCode="0%" sourceLinked="1"/>
        <c:majorTickMark val="none"/>
        <c:minorTickMark val="none"/>
        <c:tickLblPos val="nextTo"/>
        <c:crossAx val="185525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Table!PivotTable14</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Table'!$M$82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32-445E-A147-B8FCE40665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32-445E-A147-B8FCE406651F}"/>
              </c:ext>
            </c:extLst>
          </c:dPt>
          <c:cat>
            <c:strRef>
              <c:f>'Pivot Table'!$L$83:$L$85</c:f>
              <c:strCache>
                <c:ptCount val="2"/>
                <c:pt idx="0">
                  <c:v>F</c:v>
                </c:pt>
                <c:pt idx="1">
                  <c:v>M</c:v>
                </c:pt>
              </c:strCache>
            </c:strRef>
          </c:cat>
          <c:val>
            <c:numRef>
              <c:f>'Pivot Table'!$M$83:$M$85</c:f>
              <c:numCache>
                <c:formatCode>_(* #,##0_);_(* \(#,##0\);_(* "-"??_);_(@_)</c:formatCode>
                <c:ptCount val="2"/>
                <c:pt idx="0">
                  <c:v>69401.372799999997</c:v>
                </c:pt>
                <c:pt idx="1">
                  <c:v>85298.518804347827</c:v>
                </c:pt>
              </c:numCache>
            </c:numRef>
          </c:val>
          <c:extLst>
            <c:ext xmlns:c16="http://schemas.microsoft.com/office/drawing/2014/chart" uri="{C3380CC4-5D6E-409C-BE32-E72D297353CC}">
              <c16:uniqueId val="{00000002-37D1-4B12-9859-158CC69152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Table!PivotTable15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Table'!$F$104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B5-4BF7-80F7-D38148C9B2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B5-4BF7-80F7-D38148C9B2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B5-4BF7-80F7-D38148C9B249}"/>
              </c:ext>
            </c:extLst>
          </c:dPt>
          <c:cat>
            <c:strRef>
              <c:f>'Pivot Table'!$E$105:$E$108</c:f>
              <c:strCache>
                <c:ptCount val="3"/>
                <c:pt idx="0">
                  <c:v>average</c:v>
                </c:pt>
                <c:pt idx="1">
                  <c:v>top</c:v>
                </c:pt>
                <c:pt idx="2">
                  <c:v>bottom</c:v>
                </c:pt>
              </c:strCache>
            </c:strRef>
          </c:cat>
          <c:val>
            <c:numRef>
              <c:f>'Pivot Table'!$F$105:$F$108</c:f>
              <c:numCache>
                <c:formatCode>_(* #,##0_);_(* \(#,##0\);_(* "-"??_);_(@_)</c:formatCode>
                <c:ptCount val="3"/>
                <c:pt idx="0">
                  <c:v>29.89918965</c:v>
                </c:pt>
                <c:pt idx="1">
                  <c:v>20.64313945</c:v>
                </c:pt>
                <c:pt idx="2">
                  <c:v>14.720504349999999</c:v>
                </c:pt>
              </c:numCache>
            </c:numRef>
          </c:val>
          <c:extLst>
            <c:ext xmlns:c16="http://schemas.microsoft.com/office/drawing/2014/chart" uri="{C3380CC4-5D6E-409C-BE32-E72D297353CC}">
              <c16:uniqueId val="{00000003-2862-409C-9081-3D342090C4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Bahnschrift" panose="020B0502040204020203" pitchFamily="34" charset="0"/>
              </a:rPr>
              <a:t>#</a:t>
            </a:r>
            <a:r>
              <a:rPr lang="en-US" baseline="0">
                <a:solidFill>
                  <a:schemeClr val="tx1"/>
                </a:solidFill>
                <a:latin typeface="Bahnschrift" panose="020B0502040204020203" pitchFamily="34" charset="0"/>
              </a:rPr>
              <a:t> Employees By Deprartment</a:t>
            </a:r>
            <a:endParaRPr lang="en-US">
              <a:solidFill>
                <a:schemeClr val="tx1"/>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dLbl>
          <c:idx val="0"/>
          <c:layout>
            <c:manualLayout>
              <c:x val="-1.0423952040635063E-16"/>
              <c:y val="-4.53335485667983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dLbl>
          <c:idx val="0"/>
          <c:layout>
            <c:manualLayout>
              <c:x val="0"/>
              <c:y val="-3.6670401600324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dLbl>
          <c:idx val="0"/>
          <c:layout>
            <c:manualLayout>
              <c:x val="0"/>
              <c:y val="-8.2423149494009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Table'!$C$48</c:f>
              <c:strCache>
                <c:ptCount val="1"/>
                <c:pt idx="0">
                  <c:v>Total</c:v>
                </c:pt>
              </c:strCache>
            </c:strRef>
          </c:tx>
          <c:spPr>
            <a:solidFill>
              <a:srgbClr val="002060"/>
            </a:solidFill>
            <a:ln>
              <a:noFill/>
            </a:ln>
            <a:effectLst/>
          </c:spPr>
          <c:invertIfNegative val="0"/>
          <c:dPt>
            <c:idx val="4"/>
            <c:invertIfNegative val="0"/>
            <c:bubble3D val="0"/>
            <c:extLst>
              <c:ext xmlns:c16="http://schemas.microsoft.com/office/drawing/2014/chart" uri="{C3380CC4-5D6E-409C-BE32-E72D297353CC}">
                <c16:uniqueId val="{00000000-0022-4401-9171-1ADE9544501E}"/>
              </c:ext>
            </c:extLst>
          </c:dPt>
          <c:dPt>
            <c:idx val="5"/>
            <c:invertIfNegative val="0"/>
            <c:bubble3D val="0"/>
            <c:extLst>
              <c:ext xmlns:c16="http://schemas.microsoft.com/office/drawing/2014/chart" uri="{C3380CC4-5D6E-409C-BE32-E72D297353CC}">
                <c16:uniqueId val="{00000001-0022-4401-9171-1ADE9544501E}"/>
              </c:ext>
            </c:extLst>
          </c:dPt>
          <c:dPt>
            <c:idx val="6"/>
            <c:invertIfNegative val="0"/>
            <c:bubble3D val="0"/>
            <c:extLst>
              <c:ext xmlns:c16="http://schemas.microsoft.com/office/drawing/2014/chart" uri="{C3380CC4-5D6E-409C-BE32-E72D297353CC}">
                <c16:uniqueId val="{00000002-0022-4401-9171-1ADE9544501E}"/>
              </c:ext>
            </c:extLst>
          </c:dPt>
          <c:dLbls>
            <c:dLbl>
              <c:idx val="4"/>
              <c:layout>
                <c:manualLayout>
                  <c:x val="0"/>
                  <c:y val="-8.24231494940092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22-4401-9171-1ADE9544501E}"/>
                </c:ext>
              </c:extLst>
            </c:dLbl>
            <c:dLbl>
              <c:idx val="5"/>
              <c:layout>
                <c:manualLayout>
                  <c:x val="-1.0423952040635063E-16"/>
                  <c:y val="-4.533354856679833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22-4401-9171-1ADE9544501E}"/>
                </c:ext>
              </c:extLst>
            </c:dLbl>
            <c:dLbl>
              <c:idx val="6"/>
              <c:layout>
                <c:manualLayout>
                  <c:x val="0"/>
                  <c:y val="-3.667040160032411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22-4401-9171-1ADE954450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Table'!$B$49:$B$56</c:f>
              <c:strCache>
                <c:ptCount val="7"/>
                <c:pt idx="0">
                  <c:v>Sales</c:v>
                </c:pt>
                <c:pt idx="1">
                  <c:v>Customer Support</c:v>
                </c:pt>
                <c:pt idx="2">
                  <c:v>Operations and production</c:v>
                </c:pt>
                <c:pt idx="3">
                  <c:v>Marketing</c:v>
                </c:pt>
                <c:pt idx="4">
                  <c:v>Finance</c:v>
                </c:pt>
                <c:pt idx="5">
                  <c:v>Human Resources</c:v>
                </c:pt>
                <c:pt idx="6">
                  <c:v>Leadership</c:v>
                </c:pt>
              </c:strCache>
            </c:strRef>
          </c:cat>
          <c:val>
            <c:numRef>
              <c:f>'Pivot Table'!$C$49:$C$56</c:f>
              <c:numCache>
                <c:formatCode>General</c:formatCode>
                <c:ptCount val="7"/>
                <c:pt idx="0">
                  <c:v>224</c:v>
                </c:pt>
                <c:pt idx="1">
                  <c:v>223</c:v>
                </c:pt>
                <c:pt idx="2">
                  <c:v>203</c:v>
                </c:pt>
                <c:pt idx="3">
                  <c:v>88</c:v>
                </c:pt>
                <c:pt idx="4">
                  <c:v>48</c:v>
                </c:pt>
                <c:pt idx="5">
                  <c:v>29</c:v>
                </c:pt>
                <c:pt idx="6">
                  <c:v>20</c:v>
                </c:pt>
              </c:numCache>
            </c:numRef>
          </c:val>
          <c:extLst>
            <c:ext xmlns:c16="http://schemas.microsoft.com/office/drawing/2014/chart" uri="{C3380CC4-5D6E-409C-BE32-E72D297353CC}">
              <c16:uniqueId val="{0000000D-845A-4A6B-B9EB-DF49BE975C49}"/>
            </c:ext>
          </c:extLst>
        </c:ser>
        <c:dLbls>
          <c:dLblPos val="ctr"/>
          <c:showLegendKey val="0"/>
          <c:showVal val="1"/>
          <c:showCatName val="0"/>
          <c:showSerName val="0"/>
          <c:showPercent val="0"/>
          <c:showBubbleSize val="0"/>
        </c:dLbls>
        <c:gapWidth val="120"/>
        <c:overlap val="100"/>
        <c:axId val="1927503839"/>
        <c:axId val="1927499263"/>
      </c:barChart>
      <c:catAx>
        <c:axId val="192750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Bahnschrift" panose="020B0502040204020203" pitchFamily="34" charset="0"/>
                <a:ea typeface="+mn-ea"/>
                <a:cs typeface="+mn-cs"/>
              </a:defRPr>
            </a:pPr>
            <a:endParaRPr lang="en-US"/>
          </a:p>
        </c:txPr>
        <c:crossAx val="1927499263"/>
        <c:crosses val="autoZero"/>
        <c:auto val="1"/>
        <c:lblAlgn val="ctr"/>
        <c:lblOffset val="100"/>
        <c:noMultiLvlLbl val="0"/>
      </c:catAx>
      <c:valAx>
        <c:axId val="1927499263"/>
        <c:scaling>
          <c:orientation val="minMax"/>
        </c:scaling>
        <c:delete val="1"/>
        <c:axPos val="l"/>
        <c:numFmt formatCode="General" sourceLinked="1"/>
        <c:majorTickMark val="none"/>
        <c:minorTickMark val="none"/>
        <c:tickLblPos val="nextTo"/>
        <c:crossAx val="1927503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Bahnschrift" panose="020B0502040204020203" pitchFamily="34" charset="0"/>
              </a:rPr>
              <a:t>Top 10 Salary By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470472440944882E-2"/>
          <c:y val="0.18324227328726769"/>
          <c:w val="0.93297397200349952"/>
          <c:h val="0.51988644276608276"/>
        </c:manualLayout>
      </c:layout>
      <c:barChart>
        <c:barDir val="col"/>
        <c:grouping val="stacked"/>
        <c:varyColors val="0"/>
        <c:ser>
          <c:idx val="0"/>
          <c:order val="0"/>
          <c:tx>
            <c:strRef>
              <c:f>'Pivot Table'!$G$48</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Table'!$F$49:$F$59</c:f>
              <c:strCache>
                <c:ptCount val="10"/>
                <c:pt idx="0">
                  <c:v>Michael</c:v>
                </c:pt>
                <c:pt idx="1">
                  <c:v>David</c:v>
                </c:pt>
                <c:pt idx="2">
                  <c:v>Christopher</c:v>
                </c:pt>
                <c:pt idx="3">
                  <c:v>John</c:v>
                </c:pt>
                <c:pt idx="4">
                  <c:v>William</c:v>
                </c:pt>
                <c:pt idx="5">
                  <c:v>Robert</c:v>
                </c:pt>
                <c:pt idx="6">
                  <c:v>Timothy</c:v>
                </c:pt>
                <c:pt idx="7">
                  <c:v>Jennifer</c:v>
                </c:pt>
                <c:pt idx="8">
                  <c:v>Joseph</c:v>
                </c:pt>
                <c:pt idx="9">
                  <c:v>Richard</c:v>
                </c:pt>
              </c:strCache>
            </c:strRef>
          </c:cat>
          <c:val>
            <c:numRef>
              <c:f>'Pivot Table'!$G$49:$G$59</c:f>
              <c:numCache>
                <c:formatCode>_(* #,##0.00_);_(* \(#,##0.00\);_(* "-"??_);_(@_)</c:formatCode>
                <c:ptCount val="10"/>
                <c:pt idx="0">
                  <c:v>1.5290253</c:v>
                </c:pt>
                <c:pt idx="1">
                  <c:v>1.0458215</c:v>
                </c:pt>
                <c:pt idx="2">
                  <c:v>0.99888334999999995</c:v>
                </c:pt>
                <c:pt idx="3">
                  <c:v>0.94834319999999994</c:v>
                </c:pt>
                <c:pt idx="4">
                  <c:v>0.90605000000000002</c:v>
                </c:pt>
                <c:pt idx="5">
                  <c:v>0.86616749999999998</c:v>
                </c:pt>
                <c:pt idx="6">
                  <c:v>0.84608799999999995</c:v>
                </c:pt>
                <c:pt idx="7">
                  <c:v>0.76052980000000003</c:v>
                </c:pt>
                <c:pt idx="8">
                  <c:v>0.74980780000000002</c:v>
                </c:pt>
                <c:pt idx="9">
                  <c:v>0.67882299999999995</c:v>
                </c:pt>
              </c:numCache>
            </c:numRef>
          </c:val>
          <c:extLst>
            <c:ext xmlns:c16="http://schemas.microsoft.com/office/drawing/2014/chart" uri="{C3380CC4-5D6E-409C-BE32-E72D297353CC}">
              <c16:uniqueId val="{00000003-AE91-4F14-9006-29B32595E2EA}"/>
            </c:ext>
          </c:extLst>
        </c:ser>
        <c:dLbls>
          <c:dLblPos val="ctr"/>
          <c:showLegendKey val="0"/>
          <c:showVal val="1"/>
          <c:showCatName val="0"/>
          <c:showSerName val="0"/>
          <c:showPercent val="0"/>
          <c:showBubbleSize val="0"/>
        </c:dLbls>
        <c:gapWidth val="75"/>
        <c:overlap val="100"/>
        <c:axId val="1927508831"/>
        <c:axId val="1927498847"/>
      </c:barChart>
      <c:catAx>
        <c:axId val="192750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Bahnschrift" panose="020B0502040204020203" pitchFamily="34" charset="0"/>
                <a:ea typeface="+mn-ea"/>
                <a:cs typeface="+mn-cs"/>
              </a:defRPr>
            </a:pPr>
            <a:endParaRPr lang="en-US"/>
          </a:p>
        </c:txPr>
        <c:crossAx val="1927498847"/>
        <c:crosses val="autoZero"/>
        <c:auto val="1"/>
        <c:lblAlgn val="ctr"/>
        <c:lblOffset val="100"/>
        <c:noMultiLvlLbl val="0"/>
      </c:catAx>
      <c:valAx>
        <c:axId val="1927498847"/>
        <c:scaling>
          <c:orientation val="minMax"/>
        </c:scaling>
        <c:delete val="1"/>
        <c:axPos val="l"/>
        <c:numFmt formatCode="_(* #,##0.00_);_(* \(#,##0.00\);_(* &quot;-&quot;??_);_(@_)" sourceLinked="1"/>
        <c:majorTickMark val="none"/>
        <c:minorTickMark val="none"/>
        <c:tickLblPos val="nextTo"/>
        <c:crossAx val="1927508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Table!PivotTable13</c:name>
    <c:fmtId val="1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baseline="0">
                <a:solidFill>
                  <a:sysClr val="windowText" lastClr="000000"/>
                </a:solidFill>
                <a:effectLst/>
                <a:latin typeface="Bahnschrift" panose="020B0502040204020203" pitchFamily="34" charset="0"/>
              </a:rPr>
              <a:t>% Of Gender In Every Group Age</a:t>
            </a:r>
            <a:endParaRPr lang="en-US" sz="1100">
              <a:solidFill>
                <a:sysClr val="windowText" lastClr="000000"/>
              </a:solidFill>
              <a:effectLst/>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Table'!$B$83:$B$84</c:f>
              <c:strCache>
                <c:ptCount val="1"/>
                <c:pt idx="0">
                  <c:v>F</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Table'!$A$85:$A$93</c:f>
              <c:strCache>
                <c:ptCount val="8"/>
                <c:pt idx="0">
                  <c:v>25 - 21</c:v>
                </c:pt>
                <c:pt idx="1">
                  <c:v>26 - 31</c:v>
                </c:pt>
                <c:pt idx="2">
                  <c:v>32 - 36</c:v>
                </c:pt>
                <c:pt idx="3">
                  <c:v>37 - 41</c:v>
                </c:pt>
                <c:pt idx="4">
                  <c:v>42 - 46</c:v>
                </c:pt>
                <c:pt idx="5">
                  <c:v>47 - 50</c:v>
                </c:pt>
                <c:pt idx="6">
                  <c:v>Less Than 20</c:v>
                </c:pt>
                <c:pt idx="7">
                  <c:v>More Than 50</c:v>
                </c:pt>
              </c:strCache>
            </c:strRef>
          </c:cat>
          <c:val>
            <c:numRef>
              <c:f>'Pivot Table'!$B$85:$B$93</c:f>
              <c:numCache>
                <c:formatCode>0.00%</c:formatCode>
                <c:ptCount val="8"/>
                <c:pt idx="0">
                  <c:v>0.39393939393939392</c:v>
                </c:pt>
                <c:pt idx="1">
                  <c:v>0.41346153846153844</c:v>
                </c:pt>
                <c:pt idx="2">
                  <c:v>0.5304347826086957</c:v>
                </c:pt>
                <c:pt idx="3">
                  <c:v>0.45925925925925926</c:v>
                </c:pt>
                <c:pt idx="4">
                  <c:v>0.42424242424242425</c:v>
                </c:pt>
                <c:pt idx="5">
                  <c:v>0.43617021276595747</c:v>
                </c:pt>
                <c:pt idx="6">
                  <c:v>0</c:v>
                </c:pt>
                <c:pt idx="7">
                  <c:v>0.45</c:v>
                </c:pt>
              </c:numCache>
            </c:numRef>
          </c:val>
          <c:extLst>
            <c:ext xmlns:c16="http://schemas.microsoft.com/office/drawing/2014/chart" uri="{C3380CC4-5D6E-409C-BE32-E72D297353CC}">
              <c16:uniqueId val="{00000003-EC3F-4835-A6EC-C125A7E9BA6F}"/>
            </c:ext>
          </c:extLst>
        </c:ser>
        <c:ser>
          <c:idx val="1"/>
          <c:order val="1"/>
          <c:tx>
            <c:strRef>
              <c:f>'Pivot Table'!$C$83:$C$84</c:f>
              <c:strCache>
                <c:ptCount val="1"/>
                <c:pt idx="0">
                  <c:v>M</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Table'!$A$85:$A$93</c:f>
              <c:strCache>
                <c:ptCount val="8"/>
                <c:pt idx="0">
                  <c:v>25 - 21</c:v>
                </c:pt>
                <c:pt idx="1">
                  <c:v>26 - 31</c:v>
                </c:pt>
                <c:pt idx="2">
                  <c:v>32 - 36</c:v>
                </c:pt>
                <c:pt idx="3">
                  <c:v>37 - 41</c:v>
                </c:pt>
                <c:pt idx="4">
                  <c:v>42 - 46</c:v>
                </c:pt>
                <c:pt idx="5">
                  <c:v>47 - 50</c:v>
                </c:pt>
                <c:pt idx="6">
                  <c:v>Less Than 20</c:v>
                </c:pt>
                <c:pt idx="7">
                  <c:v>More Than 50</c:v>
                </c:pt>
              </c:strCache>
            </c:strRef>
          </c:cat>
          <c:val>
            <c:numRef>
              <c:f>'Pivot Table'!$C$85:$C$93</c:f>
              <c:numCache>
                <c:formatCode>0.00%</c:formatCode>
                <c:ptCount val="8"/>
                <c:pt idx="0">
                  <c:v>0.60606060606060608</c:v>
                </c:pt>
                <c:pt idx="1">
                  <c:v>0.58653846153846156</c:v>
                </c:pt>
                <c:pt idx="2">
                  <c:v>0.46956521739130436</c:v>
                </c:pt>
                <c:pt idx="3">
                  <c:v>0.54074074074074074</c:v>
                </c:pt>
                <c:pt idx="4">
                  <c:v>0.5757575757575758</c:v>
                </c:pt>
                <c:pt idx="5">
                  <c:v>0.56382978723404253</c:v>
                </c:pt>
                <c:pt idx="6">
                  <c:v>1</c:v>
                </c:pt>
                <c:pt idx="7">
                  <c:v>0.55000000000000004</c:v>
                </c:pt>
              </c:numCache>
            </c:numRef>
          </c:val>
          <c:extLst>
            <c:ext xmlns:c16="http://schemas.microsoft.com/office/drawing/2014/chart" uri="{C3380CC4-5D6E-409C-BE32-E72D297353CC}">
              <c16:uniqueId val="{00000004-EC3F-4835-A6EC-C125A7E9BA6F}"/>
            </c:ext>
          </c:extLst>
        </c:ser>
        <c:dLbls>
          <c:showLegendKey val="0"/>
          <c:showVal val="0"/>
          <c:showCatName val="0"/>
          <c:showSerName val="0"/>
          <c:showPercent val="0"/>
          <c:showBubbleSize val="0"/>
        </c:dLbls>
        <c:gapWidth val="100"/>
        <c:overlap val="100"/>
        <c:axId val="1855259151"/>
        <c:axId val="1855259983"/>
      </c:barChart>
      <c:catAx>
        <c:axId val="185525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5259983"/>
        <c:crosses val="autoZero"/>
        <c:auto val="1"/>
        <c:lblAlgn val="ctr"/>
        <c:lblOffset val="100"/>
        <c:noMultiLvlLbl val="0"/>
      </c:catAx>
      <c:valAx>
        <c:axId val="1855259983"/>
        <c:scaling>
          <c:orientation val="minMax"/>
        </c:scaling>
        <c:delete val="1"/>
        <c:axPos val="b"/>
        <c:numFmt formatCode="0%" sourceLinked="1"/>
        <c:majorTickMark val="none"/>
        <c:minorTickMark val="none"/>
        <c:tickLblPos val="nextTo"/>
        <c:crossAx val="185525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Table!PivotTable14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ysClr val="windowText" lastClr="000000"/>
                </a:solidFill>
                <a:latin typeface="Bahnschrift" panose="020B0502040204020203" pitchFamily="34" charset="0"/>
              </a:rPr>
              <a:t>Average Salary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rgbClr val="00B050"/>
          </a:solidFill>
          <a:ln w="19050">
            <a:solidFill>
              <a:schemeClr val="lt1"/>
            </a:solidFill>
          </a:ln>
          <a:effectLst/>
        </c:spPr>
        <c:dLbl>
          <c:idx val="0"/>
          <c:layout>
            <c:manualLayout>
              <c:x val="4.2527993409835416E-2"/>
              <c:y val="-0.20666281711351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390547065149872"/>
                  <c:h val="0.32565049969402465"/>
                </c:manualLayout>
              </c15:layout>
            </c:ext>
          </c:extLst>
        </c:dLbl>
      </c:pivotFmt>
      <c:pivotFmt>
        <c:idx val="6"/>
        <c:spPr>
          <a:solidFill>
            <a:srgbClr val="002060"/>
          </a:solidFill>
          <a:ln w="19050">
            <a:solidFill>
              <a:schemeClr val="lt1"/>
            </a:solidFill>
          </a:ln>
          <a:effectLst/>
        </c:spPr>
        <c:dLbl>
          <c:idx val="0"/>
          <c:layout>
            <c:manualLayout>
              <c:x val="2.1263996704917677E-2"/>
              <c:y val="0.231712855551517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1070271090843032"/>
                  <c:h val="0.32565049969402465"/>
                </c:manualLayout>
              </c15:layout>
            </c:ext>
          </c:extLst>
        </c:dLbl>
      </c:pivotFmt>
    </c:pivotFmts>
    <c:plotArea>
      <c:layout/>
      <c:doughnutChart>
        <c:varyColors val="1"/>
        <c:ser>
          <c:idx val="0"/>
          <c:order val="0"/>
          <c:tx>
            <c:strRef>
              <c:f>'Pivot Table'!$M$82</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5ADE-4B04-9E9E-CC1BBA43930A}"/>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5ADE-4B04-9E9E-CC1BBA43930A}"/>
              </c:ext>
            </c:extLst>
          </c:dPt>
          <c:dLbls>
            <c:dLbl>
              <c:idx val="0"/>
              <c:layout>
                <c:manualLayout>
                  <c:x val="4.2527993409835416E-2"/>
                  <c:y val="-0.20666281711351567"/>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3390547065149872"/>
                      <c:h val="0.32565049969402465"/>
                    </c:manualLayout>
                  </c15:layout>
                </c:ext>
                <c:ext xmlns:c16="http://schemas.microsoft.com/office/drawing/2014/chart" uri="{C3380CC4-5D6E-409C-BE32-E72D297353CC}">
                  <c16:uniqueId val="{00000001-5ADE-4B04-9E9E-CC1BBA43930A}"/>
                </c:ext>
              </c:extLst>
            </c:dLbl>
            <c:dLbl>
              <c:idx val="1"/>
              <c:layout>
                <c:manualLayout>
                  <c:x val="2.1263996704917677E-2"/>
                  <c:y val="0.2317128555515175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31070271090843032"/>
                      <c:h val="0.32565049969402465"/>
                    </c:manualLayout>
                  </c15:layout>
                </c:ext>
                <c:ext xmlns:c16="http://schemas.microsoft.com/office/drawing/2014/chart" uri="{C3380CC4-5D6E-409C-BE32-E72D297353CC}">
                  <c16:uniqueId val="{00000003-5ADE-4B04-9E9E-CC1BBA4393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Table'!$L$83:$L$85</c:f>
              <c:strCache>
                <c:ptCount val="2"/>
                <c:pt idx="0">
                  <c:v>F</c:v>
                </c:pt>
                <c:pt idx="1">
                  <c:v>M</c:v>
                </c:pt>
              </c:strCache>
            </c:strRef>
          </c:cat>
          <c:val>
            <c:numRef>
              <c:f>'Pivot Table'!$M$83:$M$85</c:f>
              <c:numCache>
                <c:formatCode>_(* #,##0_);_(* \(#,##0\);_(* "-"??_);_(@_)</c:formatCode>
                <c:ptCount val="2"/>
                <c:pt idx="0">
                  <c:v>69401.372799999997</c:v>
                </c:pt>
                <c:pt idx="1">
                  <c:v>85298.518804347827</c:v>
                </c:pt>
              </c:numCache>
            </c:numRef>
          </c:val>
          <c:extLst>
            <c:ext xmlns:c16="http://schemas.microsoft.com/office/drawing/2014/chart" uri="{C3380CC4-5D6E-409C-BE32-E72D297353CC}">
              <c16:uniqueId val="{00000006-F7D7-4394-867E-08A80845597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Table!PivotTable12</c:name>
    <c:fmtId val="7"/>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solidFill>
                  <a:schemeClr val="tx1"/>
                </a:solidFill>
                <a:latin typeface="Bahnschrift" panose="020B0502040204020203" pitchFamily="34" charset="0"/>
              </a:rPr>
              <a:t># Emplyees</a:t>
            </a:r>
            <a:r>
              <a:rPr lang="en-US" sz="1100" baseline="0">
                <a:solidFill>
                  <a:schemeClr val="tx1"/>
                </a:solidFill>
                <a:latin typeface="Bahnschrift" panose="020B0502040204020203" pitchFamily="34" charset="0"/>
              </a:rPr>
              <a:t> By Performance </a:t>
            </a:r>
            <a:endParaRPr lang="en-US" sz="1100">
              <a:solidFill>
                <a:schemeClr val="tx1"/>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rgbClr val="002060"/>
          </a:solidFill>
          <a:ln w="19050">
            <a:solidFill>
              <a:schemeClr val="lt1"/>
            </a:solidFill>
          </a:ln>
          <a:effectLst/>
        </c:spPr>
        <c:dLbl>
          <c:idx val="0"/>
          <c:layout>
            <c:manualLayout>
              <c:x val="8.3367499652029178E-2"/>
              <c:y val="-0.216451870273643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0.15692695019577255"/>
              <c:y val="2.2222222222222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769521264682942"/>
              <c:y val="-8.8888888888888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021901812537166"/>
          <c:y val="0.23072988802840252"/>
          <c:w val="0.44040791739711321"/>
          <c:h val="0.69527607631235"/>
        </c:manualLayout>
      </c:layout>
      <c:doughnutChart>
        <c:varyColors val="1"/>
        <c:ser>
          <c:idx val="0"/>
          <c:order val="0"/>
          <c:tx>
            <c:strRef>
              <c:f>'Pivot Table'!$K$49</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BF6C-4E45-8364-4A0AA1664FDE}"/>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BF6C-4E45-8364-4A0AA1664F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6C-4E45-8364-4A0AA1664FDE}"/>
              </c:ext>
            </c:extLst>
          </c:dPt>
          <c:dLbls>
            <c:dLbl>
              <c:idx val="0"/>
              <c:layout>
                <c:manualLayout>
                  <c:x val="8.3367499652029178E-2"/>
                  <c:y val="-0.21645187027364313"/>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BF6C-4E45-8364-4A0AA1664FDE}"/>
                </c:ext>
              </c:extLst>
            </c:dLbl>
            <c:dLbl>
              <c:idx val="1"/>
              <c:layout>
                <c:manualLayout>
                  <c:x val="-0.15692695019577255"/>
                  <c:y val="2.2222222222222223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F6C-4E45-8364-4A0AA1664FDE}"/>
                </c:ext>
              </c:extLst>
            </c:dLbl>
            <c:dLbl>
              <c:idx val="2"/>
              <c:layout>
                <c:manualLayout>
                  <c:x val="-0.11769521264682942"/>
                  <c:y val="-8.888888888888892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BF6C-4E45-8364-4A0AA1664F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Table'!$J$50:$J$53</c:f>
              <c:strCache>
                <c:ptCount val="3"/>
                <c:pt idx="0">
                  <c:v>average</c:v>
                </c:pt>
                <c:pt idx="1">
                  <c:v>bottom</c:v>
                </c:pt>
                <c:pt idx="2">
                  <c:v>top</c:v>
                </c:pt>
              </c:strCache>
            </c:strRef>
          </c:cat>
          <c:val>
            <c:numRef>
              <c:f>'Pivot Table'!$K$50:$K$53</c:f>
              <c:numCache>
                <c:formatCode>_(* #,##0_);_(* \(#,##0\);_(* "-"??_);_(@_)</c:formatCode>
                <c:ptCount val="3"/>
                <c:pt idx="0">
                  <c:v>376</c:v>
                </c:pt>
                <c:pt idx="1">
                  <c:v>244</c:v>
                </c:pt>
                <c:pt idx="2">
                  <c:v>215</c:v>
                </c:pt>
              </c:numCache>
            </c:numRef>
          </c:val>
          <c:extLst>
            <c:ext xmlns:c16="http://schemas.microsoft.com/office/drawing/2014/chart" uri="{C3380CC4-5D6E-409C-BE32-E72D297353CC}">
              <c16:uniqueId val="{00000008-D30E-4464-A5CD-05C244B31C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Table!PivotTable15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ysClr val="windowText" lastClr="000000"/>
                </a:solidFill>
              </a:rPr>
              <a:t>Total Salary (M) By Performance</a:t>
            </a:r>
          </a:p>
        </c:rich>
      </c:tx>
      <c:layout>
        <c:manualLayout>
          <c:xMode val="edge"/>
          <c:yMode val="edge"/>
          <c:x val="0.2257940633848593"/>
          <c:y val="4.33847313074762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5">
              <a:lumMod val="5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0728030058134231E-2"/>
              <c:y val="-0.291297725644524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7080194254732265"/>
                  <c:h val="0.26154795159649952"/>
                </c:manualLayout>
              </c15:layout>
            </c:ext>
          </c:extLst>
        </c:dLbl>
      </c:pivotFmt>
      <c:pivotFmt>
        <c:idx val="11"/>
        <c:spPr>
          <a:solidFill>
            <a:srgbClr val="00B050"/>
          </a:solidFill>
          <a:ln w="19050">
            <a:solidFill>
              <a:schemeClr val="lt1"/>
            </a:solidFill>
          </a:ln>
          <a:effectLst/>
        </c:spPr>
        <c:dLbl>
          <c:idx val="0"/>
          <c:layout>
            <c:manualLayout>
              <c:x val="-0.10603123459865077"/>
              <c:y val="6.81760063403197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4.9344200613669252E-2"/>
              <c:y val="-0.142549587430237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3466450026212324"/>
                  <c:h val="0.26154795159649952"/>
                </c:manualLayout>
              </c15:layout>
            </c:ext>
          </c:extLst>
        </c:dLbl>
      </c:pivotFmt>
    </c:pivotFmts>
    <c:plotArea>
      <c:layout>
        <c:manualLayout>
          <c:layoutTarget val="inner"/>
          <c:xMode val="edge"/>
          <c:yMode val="edge"/>
          <c:x val="7.2013019046592991E-2"/>
          <c:y val="0.37229370047845206"/>
          <c:w val="0.55565047350040542"/>
          <c:h val="0.51169484478124139"/>
        </c:manualLayout>
      </c:layout>
      <c:doughnutChart>
        <c:varyColors val="1"/>
        <c:ser>
          <c:idx val="0"/>
          <c:order val="0"/>
          <c:tx>
            <c:strRef>
              <c:f>'Pivot Table'!$F$104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6D-4C90-8BC9-D15C7AA93BDA}"/>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E-4273-4B87-8827-362D2D2DFD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4273-4B87-8827-362D2D2DFD6E}"/>
              </c:ext>
            </c:extLst>
          </c:dPt>
          <c:dLbls>
            <c:dLbl>
              <c:idx val="0"/>
              <c:layout>
                <c:manualLayout>
                  <c:x val="7.0728030058134231E-2"/>
                  <c:y val="-0.29129772564452433"/>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7080194254732265"/>
                      <c:h val="0.26154795159649952"/>
                    </c:manualLayout>
                  </c15:layout>
                </c:ext>
                <c:ext xmlns:c16="http://schemas.microsoft.com/office/drawing/2014/chart" uri="{C3380CC4-5D6E-409C-BE32-E72D297353CC}">
                  <c16:uniqueId val="{00000001-EF6D-4C90-8BC9-D15C7AA93BDA}"/>
                </c:ext>
              </c:extLst>
            </c:dLbl>
            <c:dLbl>
              <c:idx val="1"/>
              <c:layout>
                <c:manualLayout>
                  <c:x val="-0.10603123459865077"/>
                  <c:y val="6.8176006340319784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E-4273-4B87-8827-362D2D2DFD6E}"/>
                </c:ext>
              </c:extLst>
            </c:dLbl>
            <c:dLbl>
              <c:idx val="2"/>
              <c:layout>
                <c:manualLayout>
                  <c:x val="-4.9344200613669252E-2"/>
                  <c:y val="-0.14254958743023799"/>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3466450026212324"/>
                      <c:h val="0.26154795159649952"/>
                    </c:manualLayout>
                  </c15:layout>
                </c:ext>
                <c:ext xmlns:c16="http://schemas.microsoft.com/office/drawing/2014/chart" uri="{C3380CC4-5D6E-409C-BE32-E72D297353CC}">
                  <c16:uniqueId val="{0000000D-4273-4B87-8827-362D2D2DFD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Table'!$E$105:$E$108</c:f>
              <c:strCache>
                <c:ptCount val="3"/>
                <c:pt idx="0">
                  <c:v>average</c:v>
                </c:pt>
                <c:pt idx="1">
                  <c:v>top</c:v>
                </c:pt>
                <c:pt idx="2">
                  <c:v>bottom</c:v>
                </c:pt>
              </c:strCache>
            </c:strRef>
          </c:cat>
          <c:val>
            <c:numRef>
              <c:f>'Pivot Table'!$F$105:$F$108</c:f>
              <c:numCache>
                <c:formatCode>_(* #,##0_);_(* \(#,##0\);_(* "-"??_);_(@_)</c:formatCode>
                <c:ptCount val="3"/>
                <c:pt idx="0">
                  <c:v>29.89918965</c:v>
                </c:pt>
                <c:pt idx="1">
                  <c:v>20.64313945</c:v>
                </c:pt>
                <c:pt idx="2">
                  <c:v>14.720504349999999</c:v>
                </c:pt>
              </c:numCache>
            </c:numRef>
          </c:val>
          <c:extLst>
            <c:ext xmlns:c16="http://schemas.microsoft.com/office/drawing/2014/chart" uri="{C3380CC4-5D6E-409C-BE32-E72D297353CC}">
              <c16:uniqueId val="{0000000C-4273-4B87-8827-362D2D2DFD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Bahnschrift" panose="020B0502040204020203" pitchFamily="34" charset="0"/>
              </a:rPr>
              <a:t>Total Salary (M)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Table'!$A$10:$A$17</c:f>
              <c:strCache>
                <c:ptCount val="7"/>
                <c:pt idx="0">
                  <c:v>Sales</c:v>
                </c:pt>
                <c:pt idx="1">
                  <c:v>Customer Support</c:v>
                </c:pt>
                <c:pt idx="2">
                  <c:v>Operations and production</c:v>
                </c:pt>
                <c:pt idx="3">
                  <c:v>Marketing</c:v>
                </c:pt>
                <c:pt idx="4">
                  <c:v>Finance</c:v>
                </c:pt>
                <c:pt idx="5">
                  <c:v>Human Resources</c:v>
                </c:pt>
                <c:pt idx="6">
                  <c:v>Leadership</c:v>
                </c:pt>
              </c:strCache>
            </c:strRef>
          </c:cat>
          <c:val>
            <c:numRef>
              <c:f>'Pivot Table'!$B$10:$B$17</c:f>
              <c:numCache>
                <c:formatCode>_(* #,##0.0_);_(* \(#,##0.0\);_(* "-"??_);_(@_)</c:formatCode>
                <c:ptCount val="7"/>
                <c:pt idx="0">
                  <c:v>18.377202749999999</c:v>
                </c:pt>
                <c:pt idx="1">
                  <c:v>18.029896050000001</c:v>
                </c:pt>
                <c:pt idx="2">
                  <c:v>15.418263199999997</c:v>
                </c:pt>
                <c:pt idx="3">
                  <c:v>6.0496040999999998</c:v>
                </c:pt>
                <c:pt idx="4">
                  <c:v>4.0099584999999998</c:v>
                </c:pt>
                <c:pt idx="5">
                  <c:v>1.8835164</c:v>
                </c:pt>
                <c:pt idx="6">
                  <c:v>1.4943924499999999</c:v>
                </c:pt>
              </c:numCache>
            </c:numRef>
          </c:val>
          <c:extLst>
            <c:ext xmlns:c16="http://schemas.microsoft.com/office/drawing/2014/chart" uri="{C3380CC4-5D6E-409C-BE32-E72D297353CC}">
              <c16:uniqueId val="{00000000-8C86-4E3F-A667-CB3BD8E1DA01}"/>
            </c:ext>
          </c:extLst>
        </c:ser>
        <c:dLbls>
          <c:showLegendKey val="0"/>
          <c:showVal val="0"/>
          <c:showCatName val="0"/>
          <c:showSerName val="0"/>
          <c:showPercent val="0"/>
          <c:showBubbleSize val="0"/>
        </c:dLbls>
        <c:gapWidth val="49"/>
        <c:axId val="1856374031"/>
        <c:axId val="1856377775"/>
      </c:barChart>
      <c:catAx>
        <c:axId val="185637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crossAx val="1856377775"/>
        <c:crosses val="autoZero"/>
        <c:auto val="1"/>
        <c:lblAlgn val="ctr"/>
        <c:lblOffset val="100"/>
        <c:noMultiLvlLbl val="0"/>
      </c:catAx>
      <c:valAx>
        <c:axId val="1856377775"/>
        <c:scaling>
          <c:orientation val="minMax"/>
        </c:scaling>
        <c:delete val="1"/>
        <c:axPos val="l"/>
        <c:numFmt formatCode="_(* #,##0.0_);_(* \(#,##0.0\);_(* &quot;-&quot;??_);_(@_)" sourceLinked="1"/>
        <c:majorTickMark val="none"/>
        <c:minorTickMark val="none"/>
        <c:tickLblPos val="nextTo"/>
        <c:crossAx val="1856374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Bahnschrift" panose="020B0502040204020203" pitchFamily="34" charset="0"/>
              </a:rPr>
              <a:t>#</a:t>
            </a:r>
            <a:r>
              <a:rPr lang="en-US" baseline="0">
                <a:solidFill>
                  <a:sysClr val="windowText" lastClr="000000"/>
                </a:solidFill>
                <a:latin typeface="Bahnschrift" panose="020B0502040204020203" pitchFamily="34" charset="0"/>
              </a:rPr>
              <a:t> Of Employees By Region</a:t>
            </a:r>
            <a:endParaRPr lang="en-US">
              <a:solidFill>
                <a:sysClr val="windowText" lastClr="000000"/>
              </a:solidFill>
              <a:latin typeface="Bahnschrift" panose="020B0502040204020203" pitchFamily="34" charset="0"/>
            </a:endParaRPr>
          </a:p>
        </c:rich>
      </c:tx>
      <c:layout>
        <c:manualLayout>
          <c:xMode val="edge"/>
          <c:yMode val="edge"/>
          <c:x val="0.22821148579478343"/>
          <c:y val="2.3455521620634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Table'!$E$9</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Table'!$D$10:$D$15</c:f>
              <c:strCache>
                <c:ptCount val="5"/>
                <c:pt idx="0">
                  <c:v>West</c:v>
                </c:pt>
                <c:pt idx="1">
                  <c:v>Midwest</c:v>
                </c:pt>
                <c:pt idx="2">
                  <c:v>Southeast</c:v>
                </c:pt>
                <c:pt idx="3">
                  <c:v>Southwest</c:v>
                </c:pt>
                <c:pt idx="4">
                  <c:v>Northeast</c:v>
                </c:pt>
              </c:strCache>
            </c:strRef>
          </c:cat>
          <c:val>
            <c:numRef>
              <c:f>'Pivot Table'!$E$10:$E$15</c:f>
              <c:numCache>
                <c:formatCode>_(* #,##0_);_(* \(#,##0\);_(* "-"??_);_(@_)</c:formatCode>
                <c:ptCount val="5"/>
                <c:pt idx="0">
                  <c:v>197</c:v>
                </c:pt>
                <c:pt idx="1">
                  <c:v>167</c:v>
                </c:pt>
                <c:pt idx="2">
                  <c:v>161</c:v>
                </c:pt>
                <c:pt idx="3">
                  <c:v>160</c:v>
                </c:pt>
                <c:pt idx="4">
                  <c:v>150</c:v>
                </c:pt>
              </c:numCache>
            </c:numRef>
          </c:val>
          <c:extLst>
            <c:ext xmlns:c16="http://schemas.microsoft.com/office/drawing/2014/chart" uri="{C3380CC4-5D6E-409C-BE32-E72D297353CC}">
              <c16:uniqueId val="{00000000-877B-4F92-AF88-FC4949887C1B}"/>
            </c:ext>
          </c:extLst>
        </c:ser>
        <c:dLbls>
          <c:showLegendKey val="0"/>
          <c:showVal val="0"/>
          <c:showCatName val="0"/>
          <c:showSerName val="0"/>
          <c:showPercent val="0"/>
          <c:showBubbleSize val="0"/>
        </c:dLbls>
        <c:gapWidth val="58"/>
        <c:axId val="1861669935"/>
        <c:axId val="1861670767"/>
      </c:barChart>
      <c:catAx>
        <c:axId val="186166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crossAx val="1861670767"/>
        <c:crosses val="autoZero"/>
        <c:auto val="1"/>
        <c:lblAlgn val="ctr"/>
        <c:lblOffset val="100"/>
        <c:noMultiLvlLbl val="0"/>
      </c:catAx>
      <c:valAx>
        <c:axId val="1861670767"/>
        <c:scaling>
          <c:orientation val="minMax"/>
        </c:scaling>
        <c:delete val="1"/>
        <c:axPos val="l"/>
        <c:numFmt formatCode="_(* #,##0_);_(* \(#,##0\);_(* &quot;-&quot;??_);_(@_)" sourceLinked="1"/>
        <c:majorTickMark val="none"/>
        <c:minorTickMark val="none"/>
        <c:tickLblPos val="nextTo"/>
        <c:crossAx val="186166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Table!PivotTable4</c:name>
    <c:fmtId val="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latin typeface="Bahnschrift" panose="020B0502040204020203" pitchFamily="34" charset="0"/>
              </a:rPr>
              <a:t>% Of Performance In Every Department</a:t>
            </a:r>
          </a:p>
        </c:rich>
      </c:tx>
      <c:layout>
        <c:manualLayout>
          <c:xMode val="edge"/>
          <c:yMode val="edge"/>
          <c:x val="0.27790220822037903"/>
          <c:y val="2.375314682437259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E8A"/>
          </a:solidFill>
          <a:ln>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75000"/>
            </a:schemeClr>
          </a:solidFill>
          <a:ln>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96633"/>
          </a:solidFill>
          <a:ln>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rgbClr val="002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23629094751959"/>
          <c:y val="0.29923320470387615"/>
          <c:w val="0.58308291474025742"/>
          <c:h val="0.6198472433483202"/>
        </c:manualLayout>
      </c:layout>
      <c:barChart>
        <c:barDir val="bar"/>
        <c:grouping val="percentStacked"/>
        <c:varyColors val="0"/>
        <c:ser>
          <c:idx val="0"/>
          <c:order val="0"/>
          <c:tx>
            <c:strRef>
              <c:f>'Pivot Table'!$J$9:$J$10</c:f>
              <c:strCache>
                <c:ptCount val="1"/>
                <c:pt idx="0">
                  <c:v>bottom</c:v>
                </c:pt>
              </c:strCache>
            </c:strRef>
          </c:tx>
          <c:spPr>
            <a:solidFill>
              <a:srgbClr val="002E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Table'!$I$11:$I$18</c:f>
              <c:strCache>
                <c:ptCount val="7"/>
                <c:pt idx="0">
                  <c:v>Customer Support</c:v>
                </c:pt>
                <c:pt idx="1">
                  <c:v>Finance</c:v>
                </c:pt>
                <c:pt idx="2">
                  <c:v>Human Resources</c:v>
                </c:pt>
                <c:pt idx="3">
                  <c:v>Leadership</c:v>
                </c:pt>
                <c:pt idx="4">
                  <c:v>Marketing</c:v>
                </c:pt>
                <c:pt idx="5">
                  <c:v>Operations and production</c:v>
                </c:pt>
                <c:pt idx="6">
                  <c:v>Sales</c:v>
                </c:pt>
              </c:strCache>
            </c:strRef>
          </c:cat>
          <c:val>
            <c:numRef>
              <c:f>'Pivot Table'!$J$11:$J$18</c:f>
              <c:numCache>
                <c:formatCode>0.00%</c:formatCode>
                <c:ptCount val="7"/>
                <c:pt idx="0">
                  <c:v>0.26008968609865468</c:v>
                </c:pt>
                <c:pt idx="1">
                  <c:v>0.52083333333333337</c:v>
                </c:pt>
                <c:pt idx="2">
                  <c:v>0.31034482758620691</c:v>
                </c:pt>
                <c:pt idx="3">
                  <c:v>0.4</c:v>
                </c:pt>
                <c:pt idx="4">
                  <c:v>0.34090909090909088</c:v>
                </c:pt>
                <c:pt idx="5">
                  <c:v>0.31034482758620691</c:v>
                </c:pt>
                <c:pt idx="6">
                  <c:v>0.22767857142857142</c:v>
                </c:pt>
              </c:numCache>
            </c:numRef>
          </c:val>
          <c:extLst>
            <c:ext xmlns:c16="http://schemas.microsoft.com/office/drawing/2014/chart" uri="{C3380CC4-5D6E-409C-BE32-E72D297353CC}">
              <c16:uniqueId val="{00000000-3E7B-4C17-8EF0-B75319A56C2F}"/>
            </c:ext>
          </c:extLst>
        </c:ser>
        <c:ser>
          <c:idx val="2"/>
          <c:order val="1"/>
          <c:tx>
            <c:strRef>
              <c:f>'Pivot Table'!$K$9:$K$10</c:f>
              <c:strCache>
                <c:ptCount val="1"/>
                <c:pt idx="0">
                  <c:v>average</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Table'!$I$11:$I$18</c:f>
              <c:strCache>
                <c:ptCount val="7"/>
                <c:pt idx="0">
                  <c:v>Customer Support</c:v>
                </c:pt>
                <c:pt idx="1">
                  <c:v>Finance</c:v>
                </c:pt>
                <c:pt idx="2">
                  <c:v>Human Resources</c:v>
                </c:pt>
                <c:pt idx="3">
                  <c:v>Leadership</c:v>
                </c:pt>
                <c:pt idx="4">
                  <c:v>Marketing</c:v>
                </c:pt>
                <c:pt idx="5">
                  <c:v>Operations and production</c:v>
                </c:pt>
                <c:pt idx="6">
                  <c:v>Sales</c:v>
                </c:pt>
              </c:strCache>
            </c:strRef>
          </c:cat>
          <c:val>
            <c:numRef>
              <c:f>'Pivot Table'!$K$11:$K$18</c:f>
              <c:numCache>
                <c:formatCode>0.00%</c:formatCode>
                <c:ptCount val="7"/>
                <c:pt idx="0">
                  <c:v>0.44394618834080718</c:v>
                </c:pt>
                <c:pt idx="1">
                  <c:v>0.375</c:v>
                </c:pt>
                <c:pt idx="2">
                  <c:v>0.65517241379310343</c:v>
                </c:pt>
                <c:pt idx="3">
                  <c:v>0.4</c:v>
                </c:pt>
                <c:pt idx="4">
                  <c:v>0.43181818181818182</c:v>
                </c:pt>
                <c:pt idx="5">
                  <c:v>0.45812807881773399</c:v>
                </c:pt>
                <c:pt idx="6">
                  <c:v>0.45089285714285715</c:v>
                </c:pt>
              </c:numCache>
            </c:numRef>
          </c:val>
          <c:extLst>
            <c:ext xmlns:c16="http://schemas.microsoft.com/office/drawing/2014/chart" uri="{C3380CC4-5D6E-409C-BE32-E72D297353CC}">
              <c16:uniqueId val="{00000002-3E7B-4C17-8EF0-B75319A56C2F}"/>
            </c:ext>
          </c:extLst>
        </c:ser>
        <c:ser>
          <c:idx val="1"/>
          <c:order val="2"/>
          <c:tx>
            <c:strRef>
              <c:f>'Pivot Table'!$L$9:$L$10</c:f>
              <c:strCache>
                <c:ptCount val="1"/>
                <c:pt idx="0">
                  <c:v>top</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Table'!$I$11:$I$18</c:f>
              <c:strCache>
                <c:ptCount val="7"/>
                <c:pt idx="0">
                  <c:v>Customer Support</c:v>
                </c:pt>
                <c:pt idx="1">
                  <c:v>Finance</c:v>
                </c:pt>
                <c:pt idx="2">
                  <c:v>Human Resources</c:v>
                </c:pt>
                <c:pt idx="3">
                  <c:v>Leadership</c:v>
                </c:pt>
                <c:pt idx="4">
                  <c:v>Marketing</c:v>
                </c:pt>
                <c:pt idx="5">
                  <c:v>Operations and production</c:v>
                </c:pt>
                <c:pt idx="6">
                  <c:v>Sales</c:v>
                </c:pt>
              </c:strCache>
            </c:strRef>
          </c:cat>
          <c:val>
            <c:numRef>
              <c:f>'Pivot Table'!$L$11:$L$18</c:f>
              <c:numCache>
                <c:formatCode>0.00%</c:formatCode>
                <c:ptCount val="7"/>
                <c:pt idx="0">
                  <c:v>0.29596412556053814</c:v>
                </c:pt>
                <c:pt idx="1">
                  <c:v>0.10416666666666667</c:v>
                </c:pt>
                <c:pt idx="2">
                  <c:v>3.4482758620689655E-2</c:v>
                </c:pt>
                <c:pt idx="3">
                  <c:v>0.2</c:v>
                </c:pt>
                <c:pt idx="4">
                  <c:v>0.22727272727272727</c:v>
                </c:pt>
                <c:pt idx="5">
                  <c:v>0.23152709359605911</c:v>
                </c:pt>
                <c:pt idx="6">
                  <c:v>0.32142857142857145</c:v>
                </c:pt>
              </c:numCache>
            </c:numRef>
          </c:val>
          <c:extLst>
            <c:ext xmlns:c16="http://schemas.microsoft.com/office/drawing/2014/chart" uri="{C3380CC4-5D6E-409C-BE32-E72D297353CC}">
              <c16:uniqueId val="{00000004-3E7B-4C17-8EF0-B75319A56C2F}"/>
            </c:ext>
          </c:extLst>
        </c:ser>
        <c:dLbls>
          <c:showLegendKey val="0"/>
          <c:showVal val="0"/>
          <c:showCatName val="0"/>
          <c:showSerName val="0"/>
          <c:showPercent val="0"/>
          <c:showBubbleSize val="0"/>
        </c:dLbls>
        <c:gapWidth val="61"/>
        <c:overlap val="100"/>
        <c:axId val="500721871"/>
        <c:axId val="500716463"/>
      </c:barChart>
      <c:catAx>
        <c:axId val="50072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0716463"/>
        <c:crosses val="autoZero"/>
        <c:auto val="1"/>
        <c:lblAlgn val="ctr"/>
        <c:lblOffset val="100"/>
        <c:noMultiLvlLbl val="0"/>
      </c:catAx>
      <c:valAx>
        <c:axId val="50071646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00721871"/>
        <c:crosses val="autoZero"/>
        <c:crossBetween val="between"/>
      </c:valAx>
      <c:spPr>
        <a:noFill/>
        <a:ln>
          <a:noFill/>
        </a:ln>
        <a:effectLst/>
      </c:spPr>
    </c:plotArea>
    <c:legend>
      <c:legendPos val="t"/>
      <c:layout>
        <c:manualLayout>
          <c:xMode val="edge"/>
          <c:yMode val="edge"/>
          <c:x val="0.39696045924795564"/>
          <c:y val="0.15557282490377169"/>
          <c:w val="0.3111298245120549"/>
          <c:h val="0.101585275404541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latin typeface="Bahnschrift" panose="020B0502040204020203" pitchFamily="34" charset="0"/>
              </a:rPr>
              <a:t>Pay</a:t>
            </a:r>
            <a:r>
              <a:rPr lang="en-US" sz="1200" baseline="0">
                <a:solidFill>
                  <a:schemeClr val="tx1"/>
                </a:solidFill>
                <a:latin typeface="Bahnschrift" panose="020B0502040204020203" pitchFamily="34" charset="0"/>
              </a:rPr>
              <a:t> Group By Gender</a:t>
            </a:r>
            <a:endParaRPr lang="en-US" sz="1200">
              <a:solidFill>
                <a:schemeClr val="tx1"/>
              </a:solidFill>
              <a:latin typeface="Bahnschrift" panose="020B0502040204020203" pitchFamily="34" charset="0"/>
            </a:endParaRPr>
          </a:p>
        </c:rich>
      </c:tx>
      <c:layout>
        <c:manualLayout>
          <c:xMode val="edge"/>
          <c:yMode val="edge"/>
          <c:x val="0.1680440018527096"/>
          <c:y val="1.69811295526475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45820299859776"/>
          <c:y val="0.24912816311777947"/>
          <c:w val="0.58992557437169668"/>
          <c:h val="0.62599745799289686"/>
        </c:manualLayout>
      </c:layout>
      <c:barChart>
        <c:barDir val="bar"/>
        <c:grouping val="percentStacked"/>
        <c:varyColors val="0"/>
        <c:ser>
          <c:idx val="0"/>
          <c:order val="0"/>
          <c:tx>
            <c:strRef>
              <c:f>'Pivot Table'!$Y$13:$Y$14</c:f>
              <c:strCache>
                <c:ptCount val="1"/>
                <c:pt idx="0">
                  <c:v>F</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Table'!$X$15:$X$18</c:f>
              <c:strCache>
                <c:ptCount val="3"/>
                <c:pt idx="0">
                  <c:v>Paid Equal</c:v>
                </c:pt>
                <c:pt idx="1">
                  <c:v>Paid More</c:v>
                </c:pt>
                <c:pt idx="2">
                  <c:v>UnderPaid</c:v>
                </c:pt>
              </c:strCache>
            </c:strRef>
          </c:cat>
          <c:val>
            <c:numRef>
              <c:f>'Pivot Table'!$Y$15:$Y$18</c:f>
              <c:numCache>
                <c:formatCode>0.00%</c:formatCode>
                <c:ptCount val="3"/>
                <c:pt idx="0">
                  <c:v>0.36440677966101692</c:v>
                </c:pt>
                <c:pt idx="1">
                  <c:v>0.33333333333333331</c:v>
                </c:pt>
                <c:pt idx="2">
                  <c:v>0.51368421052631574</c:v>
                </c:pt>
              </c:numCache>
            </c:numRef>
          </c:val>
          <c:extLst>
            <c:ext xmlns:c16="http://schemas.microsoft.com/office/drawing/2014/chart" uri="{C3380CC4-5D6E-409C-BE32-E72D297353CC}">
              <c16:uniqueId val="{00000000-3AB5-487F-A741-12A4900582BE}"/>
            </c:ext>
          </c:extLst>
        </c:ser>
        <c:ser>
          <c:idx val="1"/>
          <c:order val="1"/>
          <c:tx>
            <c:strRef>
              <c:f>'Pivot Table'!$Z$13:$Z$14</c:f>
              <c:strCache>
                <c:ptCount val="1"/>
                <c:pt idx="0">
                  <c:v>M</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Table'!$X$15:$X$18</c:f>
              <c:strCache>
                <c:ptCount val="3"/>
                <c:pt idx="0">
                  <c:v>Paid Equal</c:v>
                </c:pt>
                <c:pt idx="1">
                  <c:v>Paid More</c:v>
                </c:pt>
                <c:pt idx="2">
                  <c:v>UnderPaid</c:v>
                </c:pt>
              </c:strCache>
            </c:strRef>
          </c:cat>
          <c:val>
            <c:numRef>
              <c:f>'Pivot Table'!$Z$15:$Z$18</c:f>
              <c:numCache>
                <c:formatCode>0.00%</c:formatCode>
                <c:ptCount val="3"/>
                <c:pt idx="0">
                  <c:v>0.63559322033898302</c:v>
                </c:pt>
                <c:pt idx="1">
                  <c:v>0.66666666666666663</c:v>
                </c:pt>
                <c:pt idx="2">
                  <c:v>0.4863157894736842</c:v>
                </c:pt>
              </c:numCache>
            </c:numRef>
          </c:val>
          <c:extLst>
            <c:ext xmlns:c16="http://schemas.microsoft.com/office/drawing/2014/chart" uri="{C3380CC4-5D6E-409C-BE32-E72D297353CC}">
              <c16:uniqueId val="{00000001-3AB5-487F-A741-12A4900582BE}"/>
            </c:ext>
          </c:extLst>
        </c:ser>
        <c:dLbls>
          <c:showLegendKey val="0"/>
          <c:showVal val="0"/>
          <c:showCatName val="0"/>
          <c:showSerName val="0"/>
          <c:showPercent val="0"/>
          <c:showBubbleSize val="0"/>
        </c:dLbls>
        <c:gapWidth val="150"/>
        <c:overlap val="100"/>
        <c:axId val="1855252911"/>
        <c:axId val="1855254575"/>
      </c:barChart>
      <c:catAx>
        <c:axId val="185525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254575"/>
        <c:crosses val="autoZero"/>
        <c:auto val="1"/>
        <c:lblAlgn val="ctr"/>
        <c:lblOffset val="100"/>
        <c:noMultiLvlLbl val="0"/>
      </c:catAx>
      <c:valAx>
        <c:axId val="1855254575"/>
        <c:scaling>
          <c:orientation val="minMax"/>
        </c:scaling>
        <c:delete val="1"/>
        <c:axPos val="b"/>
        <c:numFmt formatCode="0%" sourceLinked="1"/>
        <c:majorTickMark val="none"/>
        <c:minorTickMark val="none"/>
        <c:tickLblPos val="nextTo"/>
        <c:crossAx val="1855252911"/>
        <c:crosses val="autoZero"/>
        <c:crossBetween val="between"/>
      </c:valAx>
      <c:spPr>
        <a:noFill/>
        <a:ln>
          <a:noFill/>
        </a:ln>
        <a:effectLst/>
      </c:spPr>
    </c:plotArea>
    <c:legend>
      <c:legendPos val="t"/>
      <c:layout>
        <c:manualLayout>
          <c:xMode val="edge"/>
          <c:yMode val="edge"/>
          <c:x val="0.4062356470347544"/>
          <c:y val="0.18226536608297098"/>
          <c:w val="0.17855972024915306"/>
          <c:h val="9.37430955458925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Table!PivotTable6</c:name>
    <c:fmtId val="1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ysClr val="windowText" lastClr="000000"/>
                </a:solidFill>
                <a:latin typeface="Bahnschrift" panose="020B0502040204020203" pitchFamily="34" charset="0"/>
              </a:rPr>
              <a:t>Count Employees</a:t>
            </a:r>
            <a:r>
              <a:rPr lang="en-US" sz="1200" baseline="0">
                <a:solidFill>
                  <a:sysClr val="windowText" lastClr="000000"/>
                </a:solidFill>
                <a:latin typeface="Bahnschrift" panose="020B0502040204020203" pitchFamily="34" charset="0"/>
              </a:rPr>
              <a:t> By Gender</a:t>
            </a:r>
            <a:endParaRPr lang="en-US" sz="1200">
              <a:solidFill>
                <a:sysClr val="windowText" lastClr="000000"/>
              </a:solidFill>
              <a:latin typeface="Bahnschrift" panose="020B0502040204020203" pitchFamily="34" charset="0"/>
            </a:endParaRPr>
          </a:p>
        </c:rich>
      </c:tx>
      <c:layout>
        <c:manualLayout>
          <c:xMode val="edge"/>
          <c:yMode val="edge"/>
          <c:x val="7.6886807939385765E-2"/>
          <c:y val="4.101768143518514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0.10601227813244023"/>
              <c:y val="-6.233768551820153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tx1"/>
          </a:solidFill>
          <a:ln w="19050">
            <a:solidFill>
              <a:schemeClr val="lt1"/>
            </a:solidFill>
          </a:ln>
          <a:effectLst/>
        </c:spPr>
        <c:dLbl>
          <c:idx val="0"/>
          <c:layout>
            <c:manualLayout>
              <c:x val="-5.8895710073577912E-2"/>
              <c:y val="0.1530106826355855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5442386193260788"/>
          <c:y val="0.33107405421716202"/>
          <c:w val="0.55795716948713547"/>
          <c:h val="0.56456247652672054"/>
        </c:manualLayout>
      </c:layout>
      <c:doughnutChart>
        <c:varyColors val="1"/>
        <c:ser>
          <c:idx val="0"/>
          <c:order val="0"/>
          <c:tx>
            <c:strRef>
              <c:f>'Pivot Table'!$AH$16</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8793-44B0-8829-CF2A13DE3BDC}"/>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8793-44B0-8829-CF2A13DE3BDC}"/>
              </c:ext>
            </c:extLst>
          </c:dPt>
          <c:dLbls>
            <c:dLbl>
              <c:idx val="0"/>
              <c:layout>
                <c:manualLayout>
                  <c:x val="0.10601227813244023"/>
                  <c:y val="-6.2337685518201534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8793-44B0-8829-CF2A13DE3BDC}"/>
                </c:ext>
              </c:extLst>
            </c:dLbl>
            <c:dLbl>
              <c:idx val="1"/>
              <c:layout>
                <c:manualLayout>
                  <c:x val="-5.8895710073577912E-2"/>
                  <c:y val="0.15301068263558559"/>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8793-44B0-8829-CF2A13DE3BD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Table'!$AG$17:$AG$19</c:f>
              <c:strCache>
                <c:ptCount val="2"/>
                <c:pt idx="0">
                  <c:v>F</c:v>
                </c:pt>
                <c:pt idx="1">
                  <c:v>M</c:v>
                </c:pt>
              </c:strCache>
            </c:strRef>
          </c:cat>
          <c:val>
            <c:numRef>
              <c:f>'Pivot Table'!$AH$17:$AH$19</c:f>
              <c:numCache>
                <c:formatCode>General</c:formatCode>
                <c:ptCount val="2"/>
                <c:pt idx="0">
                  <c:v>375</c:v>
                </c:pt>
                <c:pt idx="1">
                  <c:v>460</c:v>
                </c:pt>
              </c:numCache>
            </c:numRef>
          </c:val>
          <c:extLst>
            <c:ext xmlns:c16="http://schemas.microsoft.com/office/drawing/2014/chart" uri="{C3380CC4-5D6E-409C-BE32-E72D297353CC}">
              <c16:uniqueId val="{00000004-8793-44B0-8829-CF2A13DE3B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30894530637259371"/>
          <c:y val="0.23327341399067439"/>
          <c:w val="0.24312271319497897"/>
          <c:h val="0.104770877723015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4.xml"/><Relationship Id="rId7" Type="http://schemas.openxmlformats.org/officeDocument/2006/relationships/chart" Target="../charts/chart17.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6.xml"/><Relationship Id="rId11" Type="http://schemas.openxmlformats.org/officeDocument/2006/relationships/image" Target="../media/image6.png"/><Relationship Id="rId5" Type="http://schemas.openxmlformats.org/officeDocument/2006/relationships/image" Target="../media/image2.png"/><Relationship Id="rId10" Type="http://schemas.openxmlformats.org/officeDocument/2006/relationships/image" Target="../media/image5.png"/><Relationship Id="rId4" Type="http://schemas.openxmlformats.org/officeDocument/2006/relationships/chart" Target="../charts/chart15.xml"/><Relationship Id="rId9"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chart" Target="../charts/chart20.xml"/><Relationship Id="rId7" Type="http://schemas.openxmlformats.org/officeDocument/2006/relationships/image" Target="../media/image8.png"/><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image" Target="../media/image7.png"/><Relationship Id="rId5" Type="http://schemas.openxmlformats.org/officeDocument/2006/relationships/chart" Target="../charts/chart22.xml"/><Relationship Id="rId10" Type="http://schemas.openxmlformats.org/officeDocument/2006/relationships/image" Target="../media/image11.png"/><Relationship Id="rId4" Type="http://schemas.openxmlformats.org/officeDocument/2006/relationships/chart" Target="../charts/chart21.xml"/><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95250</xdr:rowOff>
    </xdr:from>
    <xdr:to>
      <xdr:col>5</xdr:col>
      <xdr:colOff>0</xdr:colOff>
      <xdr:row>34</xdr:row>
      <xdr:rowOff>85725</xdr:rowOff>
    </xdr:to>
    <xdr:graphicFrame macro="">
      <xdr:nvGraphicFramePr>
        <xdr:cNvPr id="2" name="Chart 1">
          <a:extLst>
            <a:ext uri="{FF2B5EF4-FFF2-40B4-BE49-F238E27FC236}">
              <a16:creationId xmlns:a16="http://schemas.microsoft.com/office/drawing/2014/main" id="{5BCFE884-5F25-400F-8B9B-DE537BB3C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114300</xdr:rowOff>
    </xdr:from>
    <xdr:to>
      <xdr:col>12</xdr:col>
      <xdr:colOff>304800</xdr:colOff>
      <xdr:row>35</xdr:row>
      <xdr:rowOff>104775</xdr:rowOff>
    </xdr:to>
    <xdr:graphicFrame macro="">
      <xdr:nvGraphicFramePr>
        <xdr:cNvPr id="3" name="Chart 2">
          <a:extLst>
            <a:ext uri="{FF2B5EF4-FFF2-40B4-BE49-F238E27FC236}">
              <a16:creationId xmlns:a16="http://schemas.microsoft.com/office/drawing/2014/main" id="{177CF255-931A-4148-96C0-0919BAEFC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628650</xdr:colOff>
      <xdr:row>19</xdr:row>
      <xdr:rowOff>0</xdr:rowOff>
    </xdr:from>
    <xdr:to>
      <xdr:col>20</xdr:col>
      <xdr:colOff>266700</xdr:colOff>
      <xdr:row>35</xdr:row>
      <xdr:rowOff>152400</xdr:rowOff>
    </xdr:to>
    <xdr:graphicFrame macro="">
      <xdr:nvGraphicFramePr>
        <xdr:cNvPr id="4" name="Chart 3">
          <a:extLst>
            <a:ext uri="{FF2B5EF4-FFF2-40B4-BE49-F238E27FC236}">
              <a16:creationId xmlns:a16="http://schemas.microsoft.com/office/drawing/2014/main" id="{AC980845-71CE-4292-969D-DB8B0C588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95250</xdr:colOff>
      <xdr:row>18</xdr:row>
      <xdr:rowOff>104775</xdr:rowOff>
    </xdr:from>
    <xdr:to>
      <xdr:col>28</xdr:col>
      <xdr:colOff>28575</xdr:colOff>
      <xdr:row>35</xdr:row>
      <xdr:rowOff>95250</xdr:rowOff>
    </xdr:to>
    <xdr:graphicFrame macro="">
      <xdr:nvGraphicFramePr>
        <xdr:cNvPr id="5" name="Chart 4">
          <a:extLst>
            <a:ext uri="{FF2B5EF4-FFF2-40B4-BE49-F238E27FC236}">
              <a16:creationId xmlns:a16="http://schemas.microsoft.com/office/drawing/2014/main" id="{4E4AABE4-158D-4EDD-B4BE-545A4C390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285750</xdr:colOff>
      <xdr:row>0</xdr:row>
      <xdr:rowOff>9525</xdr:rowOff>
    </xdr:from>
    <xdr:to>
      <xdr:col>8</xdr:col>
      <xdr:colOff>264582</xdr:colOff>
      <xdr:row>13</xdr:row>
      <xdr:rowOff>114300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AA88AF7F-AC5C-426E-9C66-8D2CE8ECAD0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804833" y="9525"/>
              <a:ext cx="1841499" cy="2200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161925</xdr:colOff>
      <xdr:row>8</xdr:row>
      <xdr:rowOff>47625</xdr:rowOff>
    </xdr:from>
    <xdr:to>
      <xdr:col>5</xdr:col>
      <xdr:colOff>351367</xdr:colOff>
      <xdr:row>22</xdr:row>
      <xdr:rowOff>19050</xdr:rowOff>
    </xdr:to>
    <mc:AlternateContent xmlns:mc="http://schemas.openxmlformats.org/markup-compatibility/2006" xmlns:a14="http://schemas.microsoft.com/office/drawing/2010/main">
      <mc:Choice Requires="a14">
        <xdr:graphicFrame macro="">
          <xdr:nvGraphicFramePr>
            <xdr:cNvPr id="7" name="Age Group">
              <a:extLst>
                <a:ext uri="{FF2B5EF4-FFF2-40B4-BE49-F238E27FC236}">
                  <a16:creationId xmlns:a16="http://schemas.microsoft.com/office/drawing/2014/main" id="{27FBE13A-6612-48C4-8946-2628B9681A95}"/>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3040592" y="1349375"/>
              <a:ext cx="1829858" cy="219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238125</xdr:colOff>
      <xdr:row>21</xdr:row>
      <xdr:rowOff>28575</xdr:rowOff>
    </xdr:from>
    <xdr:to>
      <xdr:col>35</xdr:col>
      <xdr:colOff>257175</xdr:colOff>
      <xdr:row>38</xdr:row>
      <xdr:rowOff>19050</xdr:rowOff>
    </xdr:to>
    <xdr:graphicFrame macro="">
      <xdr:nvGraphicFramePr>
        <xdr:cNvPr id="8" name="Chart 7">
          <a:extLst>
            <a:ext uri="{FF2B5EF4-FFF2-40B4-BE49-F238E27FC236}">
              <a16:creationId xmlns:a16="http://schemas.microsoft.com/office/drawing/2014/main" id="{650DE16E-69D3-467A-8FB6-B022501D0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56</xdr:row>
      <xdr:rowOff>157691</xdr:rowOff>
    </xdr:from>
    <xdr:to>
      <xdr:col>3</xdr:col>
      <xdr:colOff>486833</xdr:colOff>
      <xdr:row>74</xdr:row>
      <xdr:rowOff>43391</xdr:rowOff>
    </xdr:to>
    <xdr:graphicFrame macro="">
      <xdr:nvGraphicFramePr>
        <xdr:cNvPr id="9" name="Chart 8">
          <a:extLst>
            <a:ext uri="{FF2B5EF4-FFF2-40B4-BE49-F238E27FC236}">
              <a16:creationId xmlns:a16="http://schemas.microsoft.com/office/drawing/2014/main" id="{38D0F5A0-9611-4DF3-80DF-9E60A8FE3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550333</xdr:colOff>
      <xdr:row>59</xdr:row>
      <xdr:rowOff>30690</xdr:rowOff>
    </xdr:from>
    <xdr:to>
      <xdr:col>8</xdr:col>
      <xdr:colOff>1090083</xdr:colOff>
      <xdr:row>76</xdr:row>
      <xdr:rowOff>75140</xdr:rowOff>
    </xdr:to>
    <xdr:graphicFrame macro="">
      <xdr:nvGraphicFramePr>
        <xdr:cNvPr id="11" name="Chart 10">
          <a:extLst>
            <a:ext uri="{FF2B5EF4-FFF2-40B4-BE49-F238E27FC236}">
              <a16:creationId xmlns:a16="http://schemas.microsoft.com/office/drawing/2014/main" id="{A2FBD601-E5F1-494F-B86B-AD1F6C2E9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1217083</xdr:colOff>
      <xdr:row>59</xdr:row>
      <xdr:rowOff>136524</xdr:rowOff>
    </xdr:from>
    <xdr:to>
      <xdr:col>14</xdr:col>
      <xdr:colOff>486833</xdr:colOff>
      <xdr:row>77</xdr:row>
      <xdr:rowOff>22224</xdr:rowOff>
    </xdr:to>
    <xdr:graphicFrame macro="">
      <xdr:nvGraphicFramePr>
        <xdr:cNvPr id="12" name="Chart 11">
          <a:extLst>
            <a:ext uri="{FF2B5EF4-FFF2-40B4-BE49-F238E27FC236}">
              <a16:creationId xmlns:a16="http://schemas.microsoft.com/office/drawing/2014/main" id="{FC8816F1-8AF9-4614-85FE-FAB791DDC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370416</xdr:colOff>
      <xdr:row>81</xdr:row>
      <xdr:rowOff>9524</xdr:rowOff>
    </xdr:from>
    <xdr:to>
      <xdr:col>9</xdr:col>
      <xdr:colOff>550333</xdr:colOff>
      <xdr:row>98</xdr:row>
      <xdr:rowOff>53974</xdr:rowOff>
    </xdr:to>
    <xdr:graphicFrame macro="">
      <xdr:nvGraphicFramePr>
        <xdr:cNvPr id="14" name="Chart 13">
          <a:extLst>
            <a:ext uri="{FF2B5EF4-FFF2-40B4-BE49-F238E27FC236}">
              <a16:creationId xmlns:a16="http://schemas.microsoft.com/office/drawing/2014/main" id="{26B51774-B334-4F8D-872E-453CD8D7D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529168</xdr:colOff>
      <xdr:row>85</xdr:row>
      <xdr:rowOff>147108</xdr:rowOff>
    </xdr:from>
    <xdr:to>
      <xdr:col>16</xdr:col>
      <xdr:colOff>84668</xdr:colOff>
      <xdr:row>103</xdr:row>
      <xdr:rowOff>32808</xdr:rowOff>
    </xdr:to>
    <xdr:graphicFrame macro="">
      <xdr:nvGraphicFramePr>
        <xdr:cNvPr id="15" name="Chart 14">
          <a:extLst>
            <a:ext uri="{FF2B5EF4-FFF2-40B4-BE49-F238E27FC236}">
              <a16:creationId xmlns:a16="http://schemas.microsoft.com/office/drawing/2014/main" id="{DD3A92F4-99D3-4BFB-95C5-8A11DAAB9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624416</xdr:colOff>
      <xdr:row>104</xdr:row>
      <xdr:rowOff>136525</xdr:rowOff>
    </xdr:from>
    <xdr:to>
      <xdr:col>11</xdr:col>
      <xdr:colOff>814916</xdr:colOff>
      <xdr:row>122</xdr:row>
      <xdr:rowOff>22225</xdr:rowOff>
    </xdr:to>
    <xdr:graphicFrame macro="">
      <xdr:nvGraphicFramePr>
        <xdr:cNvPr id="16" name="Chart 15">
          <a:extLst>
            <a:ext uri="{FF2B5EF4-FFF2-40B4-BE49-F238E27FC236}">
              <a16:creationId xmlns:a16="http://schemas.microsoft.com/office/drawing/2014/main" id="{E7A85465-98A4-4CFE-A36C-B0F8C1A52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0</xdr:row>
      <xdr:rowOff>104775</xdr:rowOff>
    </xdr:from>
    <xdr:to>
      <xdr:col>7</xdr:col>
      <xdr:colOff>238125</xdr:colOff>
      <xdr:row>4</xdr:row>
      <xdr:rowOff>133350</xdr:rowOff>
    </xdr:to>
    <xdr:grpSp>
      <xdr:nvGrpSpPr>
        <xdr:cNvPr id="10" name="Group 9">
          <a:extLst>
            <a:ext uri="{FF2B5EF4-FFF2-40B4-BE49-F238E27FC236}">
              <a16:creationId xmlns:a16="http://schemas.microsoft.com/office/drawing/2014/main" id="{D6FA19BE-A3F6-4205-91E9-053AE52A6FE1}"/>
            </a:ext>
          </a:extLst>
        </xdr:cNvPr>
        <xdr:cNvGrpSpPr/>
      </xdr:nvGrpSpPr>
      <xdr:grpSpPr>
        <a:xfrm>
          <a:off x="2374900" y="104775"/>
          <a:ext cx="2160058" cy="663575"/>
          <a:chOff x="2514600" y="114300"/>
          <a:chExt cx="2143125" cy="676275"/>
        </a:xfrm>
      </xdr:grpSpPr>
      <xdr:grpSp>
        <xdr:nvGrpSpPr>
          <xdr:cNvPr id="9" name="Group 8">
            <a:extLst>
              <a:ext uri="{FF2B5EF4-FFF2-40B4-BE49-F238E27FC236}">
                <a16:creationId xmlns:a16="http://schemas.microsoft.com/office/drawing/2014/main" id="{E107E2A3-9099-45C2-9F35-1CA5E095FACD}"/>
              </a:ext>
            </a:extLst>
          </xdr:cNvPr>
          <xdr:cNvGrpSpPr/>
        </xdr:nvGrpSpPr>
        <xdr:grpSpPr>
          <a:xfrm>
            <a:off x="2514600" y="114300"/>
            <a:ext cx="2143125" cy="676275"/>
            <a:chOff x="2514600" y="114300"/>
            <a:chExt cx="2143125" cy="676275"/>
          </a:xfrm>
        </xdr:grpSpPr>
        <xdr:sp macro="" textlink="">
          <xdr:nvSpPr>
            <xdr:cNvPr id="3" name="Rectangle: Rounded Corners 2">
              <a:extLst>
                <a:ext uri="{FF2B5EF4-FFF2-40B4-BE49-F238E27FC236}">
                  <a16:creationId xmlns:a16="http://schemas.microsoft.com/office/drawing/2014/main" id="{487D9A14-8923-4A9B-BC57-5ED165F0E0E9}"/>
                </a:ext>
              </a:extLst>
            </xdr:cNvPr>
            <xdr:cNvSpPr/>
          </xdr:nvSpPr>
          <xdr:spPr>
            <a:xfrm>
              <a:off x="2514600" y="114300"/>
              <a:ext cx="2143125" cy="676275"/>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92D085E9-3EBF-4D0D-9C99-E1627B60FBB0}"/>
                </a:ext>
              </a:extLst>
            </xdr:cNvPr>
            <xdr:cNvSpPr txBox="1"/>
          </xdr:nvSpPr>
          <xdr:spPr>
            <a:xfrm>
              <a:off x="2695575" y="142874"/>
              <a:ext cx="16859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latin typeface="Bahnschrift" panose="020B0502040204020203" pitchFamily="34" charset="0"/>
                </a:rPr>
                <a:t>Count Of Department</a:t>
              </a:r>
            </a:p>
          </xdr:txBody>
        </xdr:sp>
      </xdr:grpSp>
      <xdr:sp macro="" textlink="'Pivot Table'!$B$42">
        <xdr:nvSpPr>
          <xdr:cNvPr id="8" name="TextBox 7">
            <a:extLst>
              <a:ext uri="{FF2B5EF4-FFF2-40B4-BE49-F238E27FC236}">
                <a16:creationId xmlns:a16="http://schemas.microsoft.com/office/drawing/2014/main" id="{1BB610B3-0517-49C9-B640-0CA4608F0FE5}"/>
              </a:ext>
            </a:extLst>
          </xdr:cNvPr>
          <xdr:cNvSpPr txBox="1"/>
        </xdr:nvSpPr>
        <xdr:spPr>
          <a:xfrm>
            <a:off x="3000375" y="323850"/>
            <a:ext cx="952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264C0A-325D-4590-B4FD-9079EF71C431}" type="TxLink">
              <a:rPr lang="en-US" sz="2000" b="0" i="0" u="none" strike="noStrike">
                <a:solidFill>
                  <a:srgbClr val="000000"/>
                </a:solidFill>
                <a:latin typeface="Tw Cen MT"/>
              </a:rPr>
              <a:pPr algn="ctr"/>
              <a:t>7</a:t>
            </a:fld>
            <a:endParaRPr lang="en-US" sz="6000">
              <a:latin typeface="Bahnschrift" panose="020B0502040204020203" pitchFamily="34" charset="0"/>
            </a:endParaRPr>
          </a:p>
        </xdr:txBody>
      </xdr:sp>
    </xdr:grpSp>
    <xdr:clientData/>
  </xdr:twoCellAnchor>
  <xdr:twoCellAnchor>
    <xdr:from>
      <xdr:col>7</xdr:col>
      <xdr:colOff>473075</xdr:colOff>
      <xdr:row>0</xdr:row>
      <xdr:rowOff>104775</xdr:rowOff>
    </xdr:from>
    <xdr:to>
      <xdr:col>11</xdr:col>
      <xdr:colOff>177800</xdr:colOff>
      <xdr:row>4</xdr:row>
      <xdr:rowOff>133350</xdr:rowOff>
    </xdr:to>
    <xdr:grpSp>
      <xdr:nvGrpSpPr>
        <xdr:cNvPr id="11" name="Group 10">
          <a:extLst>
            <a:ext uri="{FF2B5EF4-FFF2-40B4-BE49-F238E27FC236}">
              <a16:creationId xmlns:a16="http://schemas.microsoft.com/office/drawing/2014/main" id="{E26D1194-5C02-4541-AD96-FEC2ADD154C8}"/>
            </a:ext>
          </a:extLst>
        </xdr:cNvPr>
        <xdr:cNvGrpSpPr/>
      </xdr:nvGrpSpPr>
      <xdr:grpSpPr>
        <a:xfrm>
          <a:off x="4769908" y="104775"/>
          <a:ext cx="2160059" cy="663575"/>
          <a:chOff x="2514600" y="114300"/>
          <a:chExt cx="2143125" cy="676275"/>
        </a:xfrm>
      </xdr:grpSpPr>
      <xdr:grpSp>
        <xdr:nvGrpSpPr>
          <xdr:cNvPr id="12" name="Group 11">
            <a:extLst>
              <a:ext uri="{FF2B5EF4-FFF2-40B4-BE49-F238E27FC236}">
                <a16:creationId xmlns:a16="http://schemas.microsoft.com/office/drawing/2014/main" id="{DC958851-8684-42E1-A02C-C8DAAA82269C}"/>
              </a:ext>
            </a:extLst>
          </xdr:cNvPr>
          <xdr:cNvGrpSpPr/>
        </xdr:nvGrpSpPr>
        <xdr:grpSpPr>
          <a:xfrm>
            <a:off x="2514600" y="114300"/>
            <a:ext cx="2143125" cy="676275"/>
            <a:chOff x="2514600" y="114300"/>
            <a:chExt cx="2143125" cy="676275"/>
          </a:xfrm>
        </xdr:grpSpPr>
        <xdr:sp macro="" textlink="">
          <xdr:nvSpPr>
            <xdr:cNvPr id="14" name="Rectangle: Rounded Corners 13">
              <a:extLst>
                <a:ext uri="{FF2B5EF4-FFF2-40B4-BE49-F238E27FC236}">
                  <a16:creationId xmlns:a16="http://schemas.microsoft.com/office/drawing/2014/main" id="{D1D0957D-2CB4-4F89-AFA2-385FCDC070F4}"/>
                </a:ext>
              </a:extLst>
            </xdr:cNvPr>
            <xdr:cNvSpPr/>
          </xdr:nvSpPr>
          <xdr:spPr>
            <a:xfrm>
              <a:off x="2514600" y="114300"/>
              <a:ext cx="2143125" cy="676275"/>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0C0D274C-DF6A-474F-B288-4CAFBD33F530}"/>
                </a:ext>
              </a:extLst>
            </xdr:cNvPr>
            <xdr:cNvSpPr txBox="1"/>
          </xdr:nvSpPr>
          <xdr:spPr>
            <a:xfrm>
              <a:off x="2695575" y="142874"/>
              <a:ext cx="16859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tx1"/>
                  </a:solidFill>
                  <a:latin typeface="Bahnschrift" panose="020B0502040204020203" pitchFamily="34" charset="0"/>
                </a:rPr>
                <a:t>Average</a:t>
              </a:r>
              <a:r>
                <a:rPr lang="en-US" sz="1200" baseline="0">
                  <a:solidFill>
                    <a:schemeClr val="tx1"/>
                  </a:solidFill>
                  <a:latin typeface="Bahnschrift" panose="020B0502040204020203" pitchFamily="34" charset="0"/>
                </a:rPr>
                <a:t> Of Hours</a:t>
              </a:r>
              <a:endParaRPr lang="en-US" sz="1200">
                <a:solidFill>
                  <a:schemeClr val="tx1"/>
                </a:solidFill>
                <a:latin typeface="Bahnschrift" panose="020B0502040204020203" pitchFamily="34" charset="0"/>
              </a:endParaRPr>
            </a:p>
          </xdr:txBody>
        </xdr:sp>
      </xdr:grpSp>
      <xdr:sp macro="" textlink="'Pivot Table'!$C$42">
        <xdr:nvSpPr>
          <xdr:cNvPr id="13" name="TextBox 12">
            <a:extLst>
              <a:ext uri="{FF2B5EF4-FFF2-40B4-BE49-F238E27FC236}">
                <a16:creationId xmlns:a16="http://schemas.microsoft.com/office/drawing/2014/main" id="{E15F0FA9-52A6-4182-A037-D2742BC3EFA9}"/>
              </a:ext>
            </a:extLst>
          </xdr:cNvPr>
          <xdr:cNvSpPr txBox="1"/>
        </xdr:nvSpPr>
        <xdr:spPr>
          <a:xfrm>
            <a:off x="3009900" y="314325"/>
            <a:ext cx="9525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40D883-4ED9-4563-BC5B-5B88FBF2D339}" type="TxLink">
              <a:rPr lang="en-US" sz="2000" b="0" i="0" u="none" strike="noStrike">
                <a:solidFill>
                  <a:srgbClr val="000000"/>
                </a:solidFill>
                <a:latin typeface="Bahnschrift" panose="020B0502040204020203" pitchFamily="34" charset="0"/>
              </a:rPr>
              <a:pPr algn="ctr"/>
              <a:t>30</a:t>
            </a:fld>
            <a:endParaRPr lang="en-US" sz="6000">
              <a:latin typeface="Bahnschrift" panose="020B0502040204020203" pitchFamily="34" charset="0"/>
            </a:endParaRPr>
          </a:p>
        </xdr:txBody>
      </xdr:sp>
    </xdr:grpSp>
    <xdr:clientData/>
  </xdr:twoCellAnchor>
  <xdr:twoCellAnchor>
    <xdr:from>
      <xdr:col>11</xdr:col>
      <xdr:colOff>412750</xdr:colOff>
      <xdr:row>0</xdr:row>
      <xdr:rowOff>104775</xdr:rowOff>
    </xdr:from>
    <xdr:to>
      <xdr:col>15</xdr:col>
      <xdr:colOff>117475</xdr:colOff>
      <xdr:row>4</xdr:row>
      <xdr:rowOff>133350</xdr:rowOff>
    </xdr:to>
    <xdr:grpSp>
      <xdr:nvGrpSpPr>
        <xdr:cNvPr id="16" name="Group 15">
          <a:extLst>
            <a:ext uri="{FF2B5EF4-FFF2-40B4-BE49-F238E27FC236}">
              <a16:creationId xmlns:a16="http://schemas.microsoft.com/office/drawing/2014/main" id="{1C4C87BB-70B4-491A-9BD1-D12C27AB3D3D}"/>
            </a:ext>
          </a:extLst>
        </xdr:cNvPr>
        <xdr:cNvGrpSpPr/>
      </xdr:nvGrpSpPr>
      <xdr:grpSpPr>
        <a:xfrm>
          <a:off x="7164917" y="104775"/>
          <a:ext cx="2160058" cy="663575"/>
          <a:chOff x="2514600" y="114300"/>
          <a:chExt cx="2143125" cy="676275"/>
        </a:xfrm>
      </xdr:grpSpPr>
      <xdr:grpSp>
        <xdr:nvGrpSpPr>
          <xdr:cNvPr id="17" name="Group 16">
            <a:extLst>
              <a:ext uri="{FF2B5EF4-FFF2-40B4-BE49-F238E27FC236}">
                <a16:creationId xmlns:a16="http://schemas.microsoft.com/office/drawing/2014/main" id="{BD4C6878-B7B8-44CC-81F8-3F993C1646E0}"/>
              </a:ext>
            </a:extLst>
          </xdr:cNvPr>
          <xdr:cNvGrpSpPr/>
        </xdr:nvGrpSpPr>
        <xdr:grpSpPr>
          <a:xfrm>
            <a:off x="2514600" y="114300"/>
            <a:ext cx="2143125" cy="676275"/>
            <a:chOff x="2514600" y="114300"/>
            <a:chExt cx="2143125" cy="676275"/>
          </a:xfrm>
        </xdr:grpSpPr>
        <xdr:sp macro="" textlink="">
          <xdr:nvSpPr>
            <xdr:cNvPr id="19" name="Rectangle: Rounded Corners 18">
              <a:extLst>
                <a:ext uri="{FF2B5EF4-FFF2-40B4-BE49-F238E27FC236}">
                  <a16:creationId xmlns:a16="http://schemas.microsoft.com/office/drawing/2014/main" id="{E6485506-BD56-48D3-8787-79EFB59F0B55}"/>
                </a:ext>
              </a:extLst>
            </xdr:cNvPr>
            <xdr:cNvSpPr/>
          </xdr:nvSpPr>
          <xdr:spPr>
            <a:xfrm>
              <a:off x="2514600" y="114300"/>
              <a:ext cx="2143125" cy="676275"/>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5F635016-7CF7-40F9-9F76-7CC13BB1543D}"/>
                </a:ext>
              </a:extLst>
            </xdr:cNvPr>
            <xdr:cNvSpPr txBox="1"/>
          </xdr:nvSpPr>
          <xdr:spPr>
            <a:xfrm>
              <a:off x="2695575" y="142874"/>
              <a:ext cx="16859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tx1"/>
                  </a:solidFill>
                  <a:latin typeface="Bahnschrift" panose="020B0502040204020203" pitchFamily="34" charset="0"/>
                </a:rPr>
                <a:t>Count of Regions</a:t>
              </a:r>
            </a:p>
          </xdr:txBody>
        </xdr:sp>
      </xdr:grpSp>
      <xdr:sp macro="" textlink="'Pivot Table'!$D$42">
        <xdr:nvSpPr>
          <xdr:cNvPr id="18" name="TextBox 17">
            <a:extLst>
              <a:ext uri="{FF2B5EF4-FFF2-40B4-BE49-F238E27FC236}">
                <a16:creationId xmlns:a16="http://schemas.microsoft.com/office/drawing/2014/main" id="{80F0A859-30A8-4817-907A-35DD29E676FB}"/>
              </a:ext>
            </a:extLst>
          </xdr:cNvPr>
          <xdr:cNvSpPr txBox="1"/>
        </xdr:nvSpPr>
        <xdr:spPr>
          <a:xfrm>
            <a:off x="3009900" y="323850"/>
            <a:ext cx="9525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AA16CC-1C50-487D-9AE5-FBE43B39E912}" type="TxLink">
              <a:rPr lang="en-US" sz="2000" b="0" i="0" u="none" strike="noStrike">
                <a:solidFill>
                  <a:srgbClr val="000000"/>
                </a:solidFill>
                <a:latin typeface="Bahnschrift" panose="020B0502040204020203" pitchFamily="34" charset="0"/>
              </a:rPr>
              <a:pPr algn="ctr"/>
              <a:t>5</a:t>
            </a:fld>
            <a:endParaRPr lang="en-US" sz="6000">
              <a:latin typeface="Bahnschrift" panose="020B0502040204020203" pitchFamily="34" charset="0"/>
            </a:endParaRPr>
          </a:p>
        </xdr:txBody>
      </xdr:sp>
    </xdr:grpSp>
    <xdr:clientData/>
  </xdr:twoCellAnchor>
  <xdr:twoCellAnchor>
    <xdr:from>
      <xdr:col>15</xdr:col>
      <xdr:colOff>352425</xdr:colOff>
      <xdr:row>0</xdr:row>
      <xdr:rowOff>104775</xdr:rowOff>
    </xdr:from>
    <xdr:to>
      <xdr:col>19</xdr:col>
      <xdr:colOff>57150</xdr:colOff>
      <xdr:row>4</xdr:row>
      <xdr:rowOff>133350</xdr:rowOff>
    </xdr:to>
    <xdr:grpSp>
      <xdr:nvGrpSpPr>
        <xdr:cNvPr id="21" name="Group 20">
          <a:extLst>
            <a:ext uri="{FF2B5EF4-FFF2-40B4-BE49-F238E27FC236}">
              <a16:creationId xmlns:a16="http://schemas.microsoft.com/office/drawing/2014/main" id="{7EA3AC79-234F-4009-BD8C-D2851B3A26D2}"/>
            </a:ext>
          </a:extLst>
        </xdr:cNvPr>
        <xdr:cNvGrpSpPr/>
      </xdr:nvGrpSpPr>
      <xdr:grpSpPr>
        <a:xfrm>
          <a:off x="9559925" y="104775"/>
          <a:ext cx="2160058" cy="663575"/>
          <a:chOff x="2514600" y="114300"/>
          <a:chExt cx="2143125" cy="676275"/>
        </a:xfrm>
      </xdr:grpSpPr>
      <xdr:grpSp>
        <xdr:nvGrpSpPr>
          <xdr:cNvPr id="22" name="Group 21">
            <a:extLst>
              <a:ext uri="{FF2B5EF4-FFF2-40B4-BE49-F238E27FC236}">
                <a16:creationId xmlns:a16="http://schemas.microsoft.com/office/drawing/2014/main" id="{6216022F-9D8D-4417-B210-BA742D456DA0}"/>
              </a:ext>
            </a:extLst>
          </xdr:cNvPr>
          <xdr:cNvGrpSpPr/>
        </xdr:nvGrpSpPr>
        <xdr:grpSpPr>
          <a:xfrm>
            <a:off x="2514600" y="114300"/>
            <a:ext cx="2143125" cy="676275"/>
            <a:chOff x="2514600" y="114300"/>
            <a:chExt cx="2143125" cy="676275"/>
          </a:xfrm>
        </xdr:grpSpPr>
        <xdr:sp macro="" textlink="">
          <xdr:nvSpPr>
            <xdr:cNvPr id="24" name="Rectangle: Rounded Corners 23">
              <a:extLst>
                <a:ext uri="{FF2B5EF4-FFF2-40B4-BE49-F238E27FC236}">
                  <a16:creationId xmlns:a16="http://schemas.microsoft.com/office/drawing/2014/main" id="{C4DC9947-3238-4402-8826-DF252BD1B3E2}"/>
                </a:ext>
              </a:extLst>
            </xdr:cNvPr>
            <xdr:cNvSpPr/>
          </xdr:nvSpPr>
          <xdr:spPr>
            <a:xfrm>
              <a:off x="2514600" y="114300"/>
              <a:ext cx="2143125" cy="676275"/>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2F470D01-9424-4A29-8321-975BCDD199A0}"/>
                </a:ext>
              </a:extLst>
            </xdr:cNvPr>
            <xdr:cNvSpPr txBox="1"/>
          </xdr:nvSpPr>
          <xdr:spPr>
            <a:xfrm>
              <a:off x="2695575" y="142874"/>
              <a:ext cx="16859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tx1"/>
                  </a:solidFill>
                  <a:latin typeface="Bahnschrift" panose="020B0502040204020203" pitchFamily="34" charset="0"/>
                </a:rPr>
                <a:t>Average Of Salary</a:t>
              </a:r>
            </a:p>
          </xdr:txBody>
        </xdr:sp>
      </xdr:grpSp>
      <xdr:sp macro="" textlink="'Pivot Table'!$E$42">
        <xdr:nvSpPr>
          <xdr:cNvPr id="23" name="TextBox 22">
            <a:extLst>
              <a:ext uri="{FF2B5EF4-FFF2-40B4-BE49-F238E27FC236}">
                <a16:creationId xmlns:a16="http://schemas.microsoft.com/office/drawing/2014/main" id="{48C5503F-8452-4A75-AAC7-5FCFB971361A}"/>
              </a:ext>
            </a:extLst>
          </xdr:cNvPr>
          <xdr:cNvSpPr txBox="1"/>
        </xdr:nvSpPr>
        <xdr:spPr>
          <a:xfrm>
            <a:off x="3009900" y="400050"/>
            <a:ext cx="952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6CD724-23B1-4E86-96A9-77CBEDD941B5}" type="TxLink">
              <a:rPr lang="en-US" sz="1600" b="0" i="0" u="none" strike="noStrike">
                <a:solidFill>
                  <a:srgbClr val="000000"/>
                </a:solidFill>
                <a:latin typeface="Bahnschrift" panose="020B0502040204020203" pitchFamily="34" charset="0"/>
              </a:rPr>
              <a:pPr algn="ctr"/>
              <a:t>78159.08</a:t>
            </a:fld>
            <a:endParaRPr lang="en-US" sz="4800">
              <a:latin typeface="Bahnschrift" panose="020B0502040204020203" pitchFamily="34" charset="0"/>
            </a:endParaRPr>
          </a:p>
        </xdr:txBody>
      </xdr:sp>
    </xdr:grpSp>
    <xdr:clientData/>
  </xdr:twoCellAnchor>
  <xdr:twoCellAnchor>
    <xdr:from>
      <xdr:col>3</xdr:col>
      <xdr:colOff>542926</xdr:colOff>
      <xdr:row>5</xdr:row>
      <xdr:rowOff>51684</xdr:rowOff>
    </xdr:from>
    <xdr:to>
      <xdr:col>11</xdr:col>
      <xdr:colOff>161926</xdr:colOff>
      <xdr:row>16</xdr:row>
      <xdr:rowOff>63500</xdr:rowOff>
    </xdr:to>
    <xdr:sp macro="" textlink="">
      <xdr:nvSpPr>
        <xdr:cNvPr id="26" name="Rectangle: Rounded Corners 25">
          <a:extLst>
            <a:ext uri="{FF2B5EF4-FFF2-40B4-BE49-F238E27FC236}">
              <a16:creationId xmlns:a16="http://schemas.microsoft.com/office/drawing/2014/main" id="{939F9E46-9175-4D4A-9A88-8A395E635552}"/>
            </a:ext>
          </a:extLst>
        </xdr:cNvPr>
        <xdr:cNvSpPr/>
      </xdr:nvSpPr>
      <xdr:spPr>
        <a:xfrm>
          <a:off x="2384426" y="845434"/>
          <a:ext cx="4529667" cy="1758066"/>
        </a:xfrm>
        <a:prstGeom prst="roundRect">
          <a:avLst>
            <a:gd name="adj" fmla="val 4448"/>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533402</xdr:colOff>
      <xdr:row>5</xdr:row>
      <xdr:rowOff>76200</xdr:rowOff>
    </xdr:from>
    <xdr:to>
      <xdr:col>11</xdr:col>
      <xdr:colOff>152400</xdr:colOff>
      <xdr:row>16</xdr:row>
      <xdr:rowOff>42333</xdr:rowOff>
    </xdr:to>
    <xdr:graphicFrame macro="">
      <xdr:nvGraphicFramePr>
        <xdr:cNvPr id="27" name="Chart 26">
          <a:extLst>
            <a:ext uri="{FF2B5EF4-FFF2-40B4-BE49-F238E27FC236}">
              <a16:creationId xmlns:a16="http://schemas.microsoft.com/office/drawing/2014/main" id="{B683D3F9-1944-406A-BD58-D0141B4A6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419100</xdr:colOff>
      <xdr:row>5</xdr:row>
      <xdr:rowOff>47625</xdr:rowOff>
    </xdr:from>
    <xdr:to>
      <xdr:col>19</xdr:col>
      <xdr:colOff>114300</xdr:colOff>
      <xdr:row>16</xdr:row>
      <xdr:rowOff>95250</xdr:rowOff>
    </xdr:to>
    <xdr:grpSp>
      <xdr:nvGrpSpPr>
        <xdr:cNvPr id="33" name="Group 32">
          <a:extLst>
            <a:ext uri="{FF2B5EF4-FFF2-40B4-BE49-F238E27FC236}">
              <a16:creationId xmlns:a16="http://schemas.microsoft.com/office/drawing/2014/main" id="{BEC741D8-AA72-492F-9AA8-9BD5FF342F77}"/>
            </a:ext>
          </a:extLst>
        </xdr:cNvPr>
        <xdr:cNvGrpSpPr/>
      </xdr:nvGrpSpPr>
      <xdr:grpSpPr>
        <a:xfrm>
          <a:off x="7171267" y="841375"/>
          <a:ext cx="4605866" cy="1793875"/>
          <a:chOff x="7124700" y="857250"/>
          <a:chExt cx="4572000" cy="1924050"/>
        </a:xfrm>
      </xdr:grpSpPr>
      <xdr:sp macro="" textlink="">
        <xdr:nvSpPr>
          <xdr:cNvPr id="31" name="Rectangle: Rounded Corners 30">
            <a:extLst>
              <a:ext uri="{FF2B5EF4-FFF2-40B4-BE49-F238E27FC236}">
                <a16:creationId xmlns:a16="http://schemas.microsoft.com/office/drawing/2014/main" id="{729144C9-4433-417B-8C71-9DD68FA4B9CC}"/>
              </a:ext>
            </a:extLst>
          </xdr:cNvPr>
          <xdr:cNvSpPr/>
        </xdr:nvSpPr>
        <xdr:spPr>
          <a:xfrm>
            <a:off x="7124700" y="857250"/>
            <a:ext cx="4544034" cy="1924050"/>
          </a:xfrm>
          <a:prstGeom prst="roundRect">
            <a:avLst>
              <a:gd name="adj" fmla="val 4448"/>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2" name="Chart 31">
            <a:extLst>
              <a:ext uri="{FF2B5EF4-FFF2-40B4-BE49-F238E27FC236}">
                <a16:creationId xmlns:a16="http://schemas.microsoft.com/office/drawing/2014/main" id="{ECC9EB6B-CE41-4622-9F0B-88FD918C9E40}"/>
              </a:ext>
            </a:extLst>
          </xdr:cNvPr>
          <xdr:cNvGraphicFramePr>
            <a:graphicFrameLocks/>
          </xdr:cNvGraphicFramePr>
        </xdr:nvGraphicFramePr>
        <xdr:xfrm>
          <a:off x="7124700" y="857250"/>
          <a:ext cx="4572000" cy="18669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11</xdr:col>
      <xdr:colOff>402167</xdr:colOff>
      <xdr:row>17</xdr:row>
      <xdr:rowOff>0</xdr:rowOff>
    </xdr:from>
    <xdr:to>
      <xdr:col>19</xdr:col>
      <xdr:colOff>69567</xdr:colOff>
      <xdr:row>30</xdr:row>
      <xdr:rowOff>21167</xdr:rowOff>
    </xdr:to>
    <xdr:grpSp>
      <xdr:nvGrpSpPr>
        <xdr:cNvPr id="45" name="Group 44">
          <a:extLst>
            <a:ext uri="{FF2B5EF4-FFF2-40B4-BE49-F238E27FC236}">
              <a16:creationId xmlns:a16="http://schemas.microsoft.com/office/drawing/2014/main" id="{CE24D877-8A3E-4CC8-B2CC-6C17C7BA2F69}"/>
            </a:ext>
          </a:extLst>
        </xdr:cNvPr>
        <xdr:cNvGrpSpPr/>
      </xdr:nvGrpSpPr>
      <xdr:grpSpPr>
        <a:xfrm>
          <a:off x="7154334" y="2698750"/>
          <a:ext cx="4578066" cy="2084917"/>
          <a:chOff x="7143751" y="2688166"/>
          <a:chExt cx="4578066" cy="2084917"/>
        </a:xfrm>
      </xdr:grpSpPr>
      <xdr:sp macro="" textlink="">
        <xdr:nvSpPr>
          <xdr:cNvPr id="41" name="Rectangle: Rounded Corners 40">
            <a:extLst>
              <a:ext uri="{FF2B5EF4-FFF2-40B4-BE49-F238E27FC236}">
                <a16:creationId xmlns:a16="http://schemas.microsoft.com/office/drawing/2014/main" id="{69A3B7A3-523C-4759-A621-C0BBAE68417C}"/>
              </a:ext>
            </a:extLst>
          </xdr:cNvPr>
          <xdr:cNvSpPr/>
        </xdr:nvSpPr>
        <xdr:spPr>
          <a:xfrm>
            <a:off x="7168094" y="2692226"/>
            <a:ext cx="4553723" cy="2080857"/>
          </a:xfrm>
          <a:prstGeom prst="roundRect">
            <a:avLst>
              <a:gd name="adj" fmla="val 4448"/>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2" name="Chart 41">
            <a:extLst>
              <a:ext uri="{FF2B5EF4-FFF2-40B4-BE49-F238E27FC236}">
                <a16:creationId xmlns:a16="http://schemas.microsoft.com/office/drawing/2014/main" id="{2A1F900B-79B8-4B87-A5FF-742C119508A4}"/>
              </a:ext>
            </a:extLst>
          </xdr:cNvPr>
          <xdr:cNvGraphicFramePr>
            <a:graphicFrameLocks/>
          </xdr:cNvGraphicFramePr>
        </xdr:nvGraphicFramePr>
        <xdr:xfrm>
          <a:off x="7143751" y="2688166"/>
          <a:ext cx="2857500" cy="205316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16</xdr:col>
      <xdr:colOff>169332</xdr:colOff>
      <xdr:row>17</xdr:row>
      <xdr:rowOff>14643</xdr:rowOff>
    </xdr:from>
    <xdr:to>
      <xdr:col>19</xdr:col>
      <xdr:colOff>119593</xdr:colOff>
      <xdr:row>29</xdr:row>
      <xdr:rowOff>137584</xdr:rowOff>
    </xdr:to>
    <xdr:graphicFrame macro="">
      <xdr:nvGraphicFramePr>
        <xdr:cNvPr id="44" name="Chart 43">
          <a:extLst>
            <a:ext uri="{FF2B5EF4-FFF2-40B4-BE49-F238E27FC236}">
              <a16:creationId xmlns:a16="http://schemas.microsoft.com/office/drawing/2014/main" id="{10D81955-C5EE-4607-8D7D-98DA8FFCA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127000</xdr:colOff>
      <xdr:row>17</xdr:row>
      <xdr:rowOff>21167</xdr:rowOff>
    </xdr:from>
    <xdr:to>
      <xdr:col>16</xdr:col>
      <xdr:colOff>137584</xdr:colOff>
      <xdr:row>29</xdr:row>
      <xdr:rowOff>116417</xdr:rowOff>
    </xdr:to>
    <xdr:cxnSp macro="">
      <xdr:nvCxnSpPr>
        <xdr:cNvPr id="46" name="Straight Connector 45">
          <a:extLst>
            <a:ext uri="{FF2B5EF4-FFF2-40B4-BE49-F238E27FC236}">
              <a16:creationId xmlns:a16="http://schemas.microsoft.com/office/drawing/2014/main" id="{2B861A54-C496-4275-8173-935C2BF91449}"/>
            </a:ext>
          </a:extLst>
        </xdr:cNvPr>
        <xdr:cNvCxnSpPr/>
      </xdr:nvCxnSpPr>
      <xdr:spPr>
        <a:xfrm flipH="1">
          <a:off x="9948333" y="2719917"/>
          <a:ext cx="10584" cy="200025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0</xdr:col>
      <xdr:colOff>0</xdr:colOff>
      <xdr:row>0</xdr:row>
      <xdr:rowOff>0</xdr:rowOff>
    </xdr:from>
    <xdr:to>
      <xdr:col>3</xdr:col>
      <xdr:colOff>285750</xdr:colOff>
      <xdr:row>29</xdr:row>
      <xdr:rowOff>148167</xdr:rowOff>
    </xdr:to>
    <xdr:grpSp>
      <xdr:nvGrpSpPr>
        <xdr:cNvPr id="51" name="Group 50">
          <a:extLst>
            <a:ext uri="{FF2B5EF4-FFF2-40B4-BE49-F238E27FC236}">
              <a16:creationId xmlns:a16="http://schemas.microsoft.com/office/drawing/2014/main" id="{6D1A9871-262D-4102-A102-EBA427080AE6}"/>
            </a:ext>
          </a:extLst>
        </xdr:cNvPr>
        <xdr:cNvGrpSpPr/>
      </xdr:nvGrpSpPr>
      <xdr:grpSpPr>
        <a:xfrm>
          <a:off x="0" y="0"/>
          <a:ext cx="2127250" cy="4751917"/>
          <a:chOff x="0" y="0"/>
          <a:chExt cx="2127250" cy="4400550"/>
        </a:xfrm>
      </xdr:grpSpPr>
      <xdr:grpSp>
        <xdr:nvGrpSpPr>
          <xdr:cNvPr id="50" name="Group 49">
            <a:extLst>
              <a:ext uri="{FF2B5EF4-FFF2-40B4-BE49-F238E27FC236}">
                <a16:creationId xmlns:a16="http://schemas.microsoft.com/office/drawing/2014/main" id="{D900033A-287C-49CA-BBD4-07D06F65B4B6}"/>
              </a:ext>
            </a:extLst>
          </xdr:cNvPr>
          <xdr:cNvGrpSpPr/>
        </xdr:nvGrpSpPr>
        <xdr:grpSpPr>
          <a:xfrm>
            <a:off x="0" y="0"/>
            <a:ext cx="2127250" cy="4400550"/>
            <a:chOff x="0" y="0"/>
            <a:chExt cx="2127250" cy="4400550"/>
          </a:xfrm>
        </xdr:grpSpPr>
        <xdr:sp macro="" textlink="">
          <xdr:nvSpPr>
            <xdr:cNvPr id="2" name="Rectangle: Rounded Corners 1">
              <a:extLst>
                <a:ext uri="{FF2B5EF4-FFF2-40B4-BE49-F238E27FC236}">
                  <a16:creationId xmlns:a16="http://schemas.microsoft.com/office/drawing/2014/main" id="{AC1D1892-AC2E-4AAD-AA3B-675FB0A1BECE}"/>
                </a:ext>
              </a:extLst>
            </xdr:cNvPr>
            <xdr:cNvSpPr/>
          </xdr:nvSpPr>
          <xdr:spPr>
            <a:xfrm>
              <a:off x="0" y="0"/>
              <a:ext cx="2127250" cy="4400550"/>
            </a:xfrm>
            <a:prstGeom prst="roundRect">
              <a:avLst>
                <a:gd name="adj" fmla="val 585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TextBox 47">
              <a:extLst>
                <a:ext uri="{FF2B5EF4-FFF2-40B4-BE49-F238E27FC236}">
                  <a16:creationId xmlns:a16="http://schemas.microsoft.com/office/drawing/2014/main" id="{2B1E6063-B495-4AAC-8708-F2226FD6A455}"/>
                </a:ext>
              </a:extLst>
            </xdr:cNvPr>
            <xdr:cNvSpPr txBox="1"/>
          </xdr:nvSpPr>
          <xdr:spPr>
            <a:xfrm>
              <a:off x="0" y="0"/>
              <a:ext cx="2127250" cy="658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latin typeface="Bahnschrift" panose="020B0502040204020203" pitchFamily="34" charset="0"/>
                </a:rPr>
                <a:t>Employees Health Dashbourd</a:t>
              </a:r>
            </a:p>
          </xdr:txBody>
        </xdr:sp>
      </xdr:grpSp>
      <xdr:pic>
        <xdr:nvPicPr>
          <xdr:cNvPr id="49" name="Picture 48">
            <a:extLst>
              <a:ext uri="{FF2B5EF4-FFF2-40B4-BE49-F238E27FC236}">
                <a16:creationId xmlns:a16="http://schemas.microsoft.com/office/drawing/2014/main" id="{9C2FA2CA-BDC8-4FD5-9FA4-9A5EFFC4138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54000" y="698500"/>
            <a:ext cx="1386417" cy="785894"/>
          </a:xfrm>
          <a:prstGeom prst="rect">
            <a:avLst/>
          </a:prstGeom>
        </xdr:spPr>
      </xdr:pic>
    </xdr:grpSp>
    <xdr:clientData/>
  </xdr:twoCellAnchor>
  <xdr:twoCellAnchor>
    <xdr:from>
      <xdr:col>3</xdr:col>
      <xdr:colOff>511177</xdr:colOff>
      <xdr:row>16</xdr:row>
      <xdr:rowOff>131058</xdr:rowOff>
    </xdr:from>
    <xdr:to>
      <xdr:col>11</xdr:col>
      <xdr:colOff>169333</xdr:colOff>
      <xdr:row>30</xdr:row>
      <xdr:rowOff>21166</xdr:rowOff>
    </xdr:to>
    <xdr:grpSp>
      <xdr:nvGrpSpPr>
        <xdr:cNvPr id="53" name="Group 52">
          <a:extLst>
            <a:ext uri="{FF2B5EF4-FFF2-40B4-BE49-F238E27FC236}">
              <a16:creationId xmlns:a16="http://schemas.microsoft.com/office/drawing/2014/main" id="{B35E907A-6B4C-4FE2-A11F-538D4C9A6039}"/>
            </a:ext>
          </a:extLst>
        </xdr:cNvPr>
        <xdr:cNvGrpSpPr/>
      </xdr:nvGrpSpPr>
      <xdr:grpSpPr>
        <a:xfrm>
          <a:off x="2352677" y="2671058"/>
          <a:ext cx="4568823" cy="2112608"/>
          <a:chOff x="2331510" y="2681642"/>
          <a:chExt cx="4568823" cy="2112608"/>
        </a:xfrm>
      </xdr:grpSpPr>
      <xdr:grpSp>
        <xdr:nvGrpSpPr>
          <xdr:cNvPr id="37" name="Group 36">
            <a:extLst>
              <a:ext uri="{FF2B5EF4-FFF2-40B4-BE49-F238E27FC236}">
                <a16:creationId xmlns:a16="http://schemas.microsoft.com/office/drawing/2014/main" id="{8DC7C164-929B-4602-9C6D-2BB6FCCB7F6C}"/>
              </a:ext>
            </a:extLst>
          </xdr:cNvPr>
          <xdr:cNvGrpSpPr/>
        </xdr:nvGrpSpPr>
        <xdr:grpSpPr>
          <a:xfrm>
            <a:off x="2331510" y="2681642"/>
            <a:ext cx="4568823" cy="2070275"/>
            <a:chOff x="2320927" y="2660476"/>
            <a:chExt cx="4582582" cy="1763357"/>
          </a:xfrm>
        </xdr:grpSpPr>
        <xdr:sp macro="" textlink="">
          <xdr:nvSpPr>
            <xdr:cNvPr id="35" name="Rectangle: Rounded Corners 34">
              <a:extLst>
                <a:ext uri="{FF2B5EF4-FFF2-40B4-BE49-F238E27FC236}">
                  <a16:creationId xmlns:a16="http://schemas.microsoft.com/office/drawing/2014/main" id="{55F9B120-8994-4E3E-B94D-AB9B201124E6}"/>
                </a:ext>
              </a:extLst>
            </xdr:cNvPr>
            <xdr:cNvSpPr/>
          </xdr:nvSpPr>
          <xdr:spPr>
            <a:xfrm>
              <a:off x="2373842" y="2660476"/>
              <a:ext cx="4529667" cy="1763357"/>
            </a:xfrm>
            <a:prstGeom prst="roundRect">
              <a:avLst>
                <a:gd name="adj" fmla="val 4448"/>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6" name="Chart 35">
              <a:extLst>
                <a:ext uri="{FF2B5EF4-FFF2-40B4-BE49-F238E27FC236}">
                  <a16:creationId xmlns:a16="http://schemas.microsoft.com/office/drawing/2014/main" id="{3833EAD4-65F0-402D-B601-A3C32B22442D}"/>
                </a:ext>
              </a:extLst>
            </xdr:cNvPr>
            <xdr:cNvGraphicFramePr>
              <a:graphicFrameLocks/>
            </xdr:cNvGraphicFramePr>
          </xdr:nvGraphicFramePr>
          <xdr:xfrm>
            <a:off x="2320927" y="2688167"/>
            <a:ext cx="2385235" cy="1714500"/>
          </xdr:xfrm>
          <a:graphic>
            <a:graphicData uri="http://schemas.openxmlformats.org/drawingml/2006/chart">
              <c:chart xmlns:c="http://schemas.openxmlformats.org/drawingml/2006/chart" xmlns:r="http://schemas.openxmlformats.org/officeDocument/2006/relationships" r:id="rId6"/>
            </a:graphicData>
          </a:graphic>
        </xdr:graphicFrame>
      </xdr:grpSp>
      <xdr:graphicFrame macro="">
        <xdr:nvGraphicFramePr>
          <xdr:cNvPr id="52" name="Chart 51">
            <a:extLst>
              <a:ext uri="{FF2B5EF4-FFF2-40B4-BE49-F238E27FC236}">
                <a16:creationId xmlns:a16="http://schemas.microsoft.com/office/drawing/2014/main" id="{9535A1CE-9573-4258-8CFB-288C9C4CC5D1}"/>
              </a:ext>
            </a:extLst>
          </xdr:cNvPr>
          <xdr:cNvGraphicFramePr>
            <a:graphicFrameLocks/>
          </xdr:cNvGraphicFramePr>
        </xdr:nvGraphicFramePr>
        <xdr:xfrm>
          <a:off x="4995335" y="2745142"/>
          <a:ext cx="1887010" cy="204910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7</xdr:col>
      <xdr:colOff>560917</xdr:colOff>
      <xdr:row>17</xdr:row>
      <xdr:rowOff>21167</xdr:rowOff>
    </xdr:from>
    <xdr:to>
      <xdr:col>7</xdr:col>
      <xdr:colOff>571501</xdr:colOff>
      <xdr:row>29</xdr:row>
      <xdr:rowOff>116417</xdr:rowOff>
    </xdr:to>
    <xdr:cxnSp macro="">
      <xdr:nvCxnSpPr>
        <xdr:cNvPr id="54" name="Straight Connector 53">
          <a:extLst>
            <a:ext uri="{FF2B5EF4-FFF2-40B4-BE49-F238E27FC236}">
              <a16:creationId xmlns:a16="http://schemas.microsoft.com/office/drawing/2014/main" id="{C244B5EF-5190-449C-9820-225198473433}"/>
            </a:ext>
          </a:extLst>
        </xdr:cNvPr>
        <xdr:cNvCxnSpPr/>
      </xdr:nvCxnSpPr>
      <xdr:spPr>
        <a:xfrm flipH="1">
          <a:off x="4857750" y="2719917"/>
          <a:ext cx="10584" cy="200025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4</xdr:col>
      <xdr:colOff>595843</xdr:colOff>
      <xdr:row>23</xdr:row>
      <xdr:rowOff>35808</xdr:rowOff>
    </xdr:from>
    <xdr:to>
      <xdr:col>5</xdr:col>
      <xdr:colOff>606425</xdr:colOff>
      <xdr:row>25</xdr:row>
      <xdr:rowOff>56975</xdr:rowOff>
    </xdr:to>
    <xdr:sp macro="" textlink="">
      <xdr:nvSpPr>
        <xdr:cNvPr id="55" name="TextBox 54">
          <a:extLst>
            <a:ext uri="{FF2B5EF4-FFF2-40B4-BE49-F238E27FC236}">
              <a16:creationId xmlns:a16="http://schemas.microsoft.com/office/drawing/2014/main" id="{EB6B93A9-805F-4409-892C-473518698658}"/>
            </a:ext>
          </a:extLst>
        </xdr:cNvPr>
        <xdr:cNvSpPr txBox="1"/>
      </xdr:nvSpPr>
      <xdr:spPr>
        <a:xfrm>
          <a:off x="3051176" y="3687058"/>
          <a:ext cx="624416"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latin typeface="Bahnschrift" panose="020B0502040204020203" pitchFamily="34" charset="0"/>
            </a:rPr>
            <a:t>835</a:t>
          </a:r>
        </a:p>
      </xdr:txBody>
    </xdr:sp>
    <xdr:clientData/>
  </xdr:twoCellAnchor>
  <xdr:twoCellAnchor>
    <xdr:from>
      <xdr:col>8</xdr:col>
      <xdr:colOff>518583</xdr:colOff>
      <xdr:row>24</xdr:row>
      <xdr:rowOff>10582</xdr:rowOff>
    </xdr:from>
    <xdr:to>
      <xdr:col>9</xdr:col>
      <xdr:colOff>433917</xdr:colOff>
      <xdr:row>26</xdr:row>
      <xdr:rowOff>31749</xdr:rowOff>
    </xdr:to>
    <xdr:sp macro="" textlink="'Pivot Table'!$F$108">
      <xdr:nvSpPr>
        <xdr:cNvPr id="57" name="TextBox 56">
          <a:extLst>
            <a:ext uri="{FF2B5EF4-FFF2-40B4-BE49-F238E27FC236}">
              <a16:creationId xmlns:a16="http://schemas.microsoft.com/office/drawing/2014/main" id="{7131B6A4-9E11-47CA-84C4-6EBD0BC54CB6}"/>
            </a:ext>
          </a:extLst>
        </xdr:cNvPr>
        <xdr:cNvSpPr txBox="1"/>
      </xdr:nvSpPr>
      <xdr:spPr>
        <a:xfrm>
          <a:off x="5429250" y="3820582"/>
          <a:ext cx="529167"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98C514-6D83-4193-BAAA-7497FC96CC2F}" type="TxLink">
            <a:rPr lang="en-US" sz="1800" b="0" i="0" u="none" strike="noStrike">
              <a:solidFill>
                <a:srgbClr val="000000"/>
              </a:solidFill>
              <a:latin typeface="Bahnschrift" panose="020B0502040204020203" pitchFamily="34" charset="0"/>
            </a:rPr>
            <a:pPr/>
            <a:t> 65 </a:t>
          </a:fld>
          <a:endParaRPr lang="en-US" sz="2400">
            <a:latin typeface="Bahnschrift" panose="020B0502040204020203" pitchFamily="34" charset="0"/>
          </a:endParaRPr>
        </a:p>
      </xdr:txBody>
    </xdr:sp>
    <xdr:clientData/>
  </xdr:twoCellAnchor>
  <xdr:twoCellAnchor>
    <xdr:from>
      <xdr:col>16</xdr:col>
      <xdr:colOff>560917</xdr:colOff>
      <xdr:row>23</xdr:row>
      <xdr:rowOff>42333</xdr:rowOff>
    </xdr:from>
    <xdr:to>
      <xdr:col>17</xdr:col>
      <xdr:colOff>592666</xdr:colOff>
      <xdr:row>25</xdr:row>
      <xdr:rowOff>10583</xdr:rowOff>
    </xdr:to>
    <xdr:sp macro="" textlink="'Pivot Table'!$M$85">
      <xdr:nvSpPr>
        <xdr:cNvPr id="58" name="TextBox 57">
          <a:extLst>
            <a:ext uri="{FF2B5EF4-FFF2-40B4-BE49-F238E27FC236}">
              <a16:creationId xmlns:a16="http://schemas.microsoft.com/office/drawing/2014/main" id="{41E84C22-1A11-463E-9BAA-A5675B29B14C}"/>
            </a:ext>
          </a:extLst>
        </xdr:cNvPr>
        <xdr:cNvSpPr txBox="1"/>
      </xdr:nvSpPr>
      <xdr:spPr>
        <a:xfrm>
          <a:off x="10382250" y="3693583"/>
          <a:ext cx="64558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A83EEA-9CE4-44D1-B089-D2D4CF35E59B}" type="TxLink">
            <a:rPr lang="en-US" sz="1100" b="0" i="0" u="none" strike="noStrike">
              <a:solidFill>
                <a:srgbClr val="000000"/>
              </a:solidFill>
              <a:latin typeface="Bahnschrift" panose="020B0502040204020203" pitchFamily="34" charset="0"/>
            </a:rPr>
            <a:pPr/>
            <a:t> 78,159 </a:t>
          </a:fld>
          <a:endParaRPr lang="en-US" sz="1400">
            <a:latin typeface="Bahnschrift" panose="020B0502040204020203" pitchFamily="34" charset="0"/>
          </a:endParaRPr>
        </a:p>
      </xdr:txBody>
    </xdr:sp>
    <xdr:clientData/>
  </xdr:twoCellAnchor>
  <xdr:twoCellAnchor editAs="oneCell">
    <xdr:from>
      <xdr:col>0</xdr:col>
      <xdr:colOff>142875</xdr:colOff>
      <xdr:row>11</xdr:row>
      <xdr:rowOff>38100</xdr:rowOff>
    </xdr:from>
    <xdr:to>
      <xdr:col>3</xdr:col>
      <xdr:colOff>130175</xdr:colOff>
      <xdr:row>20</xdr:row>
      <xdr:rowOff>137583</xdr:rowOff>
    </xdr:to>
    <mc:AlternateContent xmlns:mc="http://schemas.openxmlformats.org/markup-compatibility/2006" xmlns:a14="http://schemas.microsoft.com/office/drawing/2010/main">
      <mc:Choice Requires="a14">
        <xdr:graphicFrame macro="">
          <xdr:nvGraphicFramePr>
            <xdr:cNvPr id="67" name="Region">
              <a:extLst>
                <a:ext uri="{FF2B5EF4-FFF2-40B4-BE49-F238E27FC236}">
                  <a16:creationId xmlns:a16="http://schemas.microsoft.com/office/drawing/2014/main" id="{436ED09B-97B9-433A-A575-E06F07034F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2875" y="1784350"/>
              <a:ext cx="1828800" cy="1528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100542</xdr:colOff>
      <xdr:row>21</xdr:row>
      <xdr:rowOff>101600</xdr:rowOff>
    </xdr:from>
    <xdr:to>
      <xdr:col>3</xdr:col>
      <xdr:colOff>87842</xdr:colOff>
      <xdr:row>35</xdr:row>
      <xdr:rowOff>117475</xdr:rowOff>
    </xdr:to>
    <mc:AlternateContent xmlns:mc="http://schemas.openxmlformats.org/markup-compatibility/2006" xmlns:a14="http://schemas.microsoft.com/office/drawing/2010/main">
      <mc:Choice Requires="a14">
        <xdr:graphicFrame macro="">
          <xdr:nvGraphicFramePr>
            <xdr:cNvPr id="68" name="Pay Group">
              <a:extLst>
                <a:ext uri="{FF2B5EF4-FFF2-40B4-BE49-F238E27FC236}">
                  <a16:creationId xmlns:a16="http://schemas.microsoft.com/office/drawing/2014/main" id="{9BF0117B-9767-4B95-B5E0-A6DC4A308E04}"/>
                </a:ext>
              </a:extLst>
            </xdr:cNvPr>
            <xdr:cNvGraphicFramePr/>
          </xdr:nvGraphicFramePr>
          <xdr:xfrm>
            <a:off x="0" y="0"/>
            <a:ext cx="0" cy="0"/>
          </xdr:xfrm>
          <a:graphic>
            <a:graphicData uri="http://schemas.microsoft.com/office/drawing/2010/slicer">
              <sle:slicer xmlns:sle="http://schemas.microsoft.com/office/drawing/2010/slicer" name="Pay Group"/>
            </a:graphicData>
          </a:graphic>
        </xdr:graphicFrame>
      </mc:Choice>
      <mc:Fallback xmlns="">
        <xdr:sp macro="" textlink="">
          <xdr:nvSpPr>
            <xdr:cNvPr id="0" name=""/>
            <xdr:cNvSpPr>
              <a:spLocks noTextEdit="1"/>
            </xdr:cNvSpPr>
          </xdr:nvSpPr>
          <xdr:spPr>
            <a:xfrm>
              <a:off x="100542" y="343535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603251</xdr:colOff>
      <xdr:row>2</xdr:row>
      <xdr:rowOff>31751</xdr:rowOff>
    </xdr:from>
    <xdr:to>
      <xdr:col>4</xdr:col>
      <xdr:colOff>349250</xdr:colOff>
      <xdr:row>4</xdr:row>
      <xdr:rowOff>74083</xdr:rowOff>
    </xdr:to>
    <xdr:pic>
      <xdr:nvPicPr>
        <xdr:cNvPr id="70" name="Picture 69">
          <a:extLst>
            <a:ext uri="{FF2B5EF4-FFF2-40B4-BE49-F238E27FC236}">
              <a16:creationId xmlns:a16="http://schemas.microsoft.com/office/drawing/2014/main" id="{556AEE76-A268-4BA2-87A5-67D17087C85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444751" y="349251"/>
          <a:ext cx="359832" cy="359832"/>
        </a:xfrm>
        <a:prstGeom prst="rect">
          <a:avLst/>
        </a:prstGeom>
      </xdr:spPr>
    </xdr:pic>
    <xdr:clientData/>
  </xdr:twoCellAnchor>
  <xdr:twoCellAnchor editAs="oneCell">
    <xdr:from>
      <xdr:col>7</xdr:col>
      <xdr:colOff>560918</xdr:colOff>
      <xdr:row>2</xdr:row>
      <xdr:rowOff>42333</xdr:rowOff>
    </xdr:from>
    <xdr:to>
      <xdr:col>8</xdr:col>
      <xdr:colOff>317501</xdr:colOff>
      <xdr:row>4</xdr:row>
      <xdr:rowOff>95250</xdr:rowOff>
    </xdr:to>
    <xdr:pic>
      <xdr:nvPicPr>
        <xdr:cNvPr id="72" name="Picture 71">
          <a:extLst>
            <a:ext uri="{FF2B5EF4-FFF2-40B4-BE49-F238E27FC236}">
              <a16:creationId xmlns:a16="http://schemas.microsoft.com/office/drawing/2014/main" id="{BB54FD22-A040-4117-857D-757EBBF0224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857751" y="359833"/>
          <a:ext cx="370417" cy="370417"/>
        </a:xfrm>
        <a:prstGeom prst="rect">
          <a:avLst/>
        </a:prstGeom>
      </xdr:spPr>
    </xdr:pic>
    <xdr:clientData/>
  </xdr:twoCellAnchor>
  <xdr:twoCellAnchor editAs="oneCell">
    <xdr:from>
      <xdr:col>11</xdr:col>
      <xdr:colOff>476251</xdr:colOff>
      <xdr:row>2</xdr:row>
      <xdr:rowOff>42333</xdr:rowOff>
    </xdr:from>
    <xdr:to>
      <xdr:col>12</xdr:col>
      <xdr:colOff>201083</xdr:colOff>
      <xdr:row>4</xdr:row>
      <xdr:rowOff>63498</xdr:rowOff>
    </xdr:to>
    <xdr:pic>
      <xdr:nvPicPr>
        <xdr:cNvPr id="74" name="Picture 73">
          <a:extLst>
            <a:ext uri="{FF2B5EF4-FFF2-40B4-BE49-F238E27FC236}">
              <a16:creationId xmlns:a16="http://schemas.microsoft.com/office/drawing/2014/main" id="{D232C75B-0BBE-4156-B969-8581F0AD4B8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28418" y="359833"/>
          <a:ext cx="338665" cy="338665"/>
        </a:xfrm>
        <a:prstGeom prst="rect">
          <a:avLst/>
        </a:prstGeom>
      </xdr:spPr>
    </xdr:pic>
    <xdr:clientData/>
  </xdr:twoCellAnchor>
  <xdr:twoCellAnchor editAs="oneCell">
    <xdr:from>
      <xdr:col>15</xdr:col>
      <xdr:colOff>423334</xdr:colOff>
      <xdr:row>2</xdr:row>
      <xdr:rowOff>31750</xdr:rowOff>
    </xdr:from>
    <xdr:to>
      <xdr:col>16</xdr:col>
      <xdr:colOff>169334</xdr:colOff>
      <xdr:row>4</xdr:row>
      <xdr:rowOff>74083</xdr:rowOff>
    </xdr:to>
    <xdr:pic>
      <xdr:nvPicPr>
        <xdr:cNvPr id="76" name="Picture 75">
          <a:extLst>
            <a:ext uri="{FF2B5EF4-FFF2-40B4-BE49-F238E27FC236}">
              <a16:creationId xmlns:a16="http://schemas.microsoft.com/office/drawing/2014/main" id="{EF19EE13-92A1-4385-869A-32EF47BF805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630834" y="349250"/>
          <a:ext cx="359833" cy="3598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128058</xdr:colOff>
      <xdr:row>0</xdr:row>
      <xdr:rowOff>103188</xdr:rowOff>
    </xdr:from>
    <xdr:to>
      <xdr:col>8</xdr:col>
      <xdr:colOff>95250</xdr:colOff>
      <xdr:row>4</xdr:row>
      <xdr:rowOff>74613</xdr:rowOff>
    </xdr:to>
    <xdr:grpSp>
      <xdr:nvGrpSpPr>
        <xdr:cNvPr id="14" name="Group 13">
          <a:extLst>
            <a:ext uri="{FF2B5EF4-FFF2-40B4-BE49-F238E27FC236}">
              <a16:creationId xmlns:a16="http://schemas.microsoft.com/office/drawing/2014/main" id="{1DCFB497-052A-4F80-BDF6-EBFE6093A518}"/>
            </a:ext>
          </a:extLst>
        </xdr:cNvPr>
        <xdr:cNvGrpSpPr/>
      </xdr:nvGrpSpPr>
      <xdr:grpSpPr>
        <a:xfrm>
          <a:off x="2583391" y="103188"/>
          <a:ext cx="2422526" cy="606425"/>
          <a:chOff x="2524125" y="119063"/>
          <a:chExt cx="1724025" cy="619125"/>
        </a:xfrm>
      </xdr:grpSpPr>
      <xdr:grpSp>
        <xdr:nvGrpSpPr>
          <xdr:cNvPr id="12" name="Group 11">
            <a:extLst>
              <a:ext uri="{FF2B5EF4-FFF2-40B4-BE49-F238E27FC236}">
                <a16:creationId xmlns:a16="http://schemas.microsoft.com/office/drawing/2014/main" id="{7931F1C7-78B8-47AE-91E3-D47637D3FE79}"/>
              </a:ext>
            </a:extLst>
          </xdr:cNvPr>
          <xdr:cNvGrpSpPr/>
        </xdr:nvGrpSpPr>
        <xdr:grpSpPr>
          <a:xfrm>
            <a:off x="2524125" y="119063"/>
            <a:ext cx="1724025" cy="619125"/>
            <a:chOff x="2524125" y="119063"/>
            <a:chExt cx="1724025" cy="619125"/>
          </a:xfrm>
        </xdr:grpSpPr>
        <xdr:sp macro="" textlink="">
          <xdr:nvSpPr>
            <xdr:cNvPr id="3" name="Rectangle: Rounded Corners 2">
              <a:extLst>
                <a:ext uri="{FF2B5EF4-FFF2-40B4-BE49-F238E27FC236}">
                  <a16:creationId xmlns:a16="http://schemas.microsoft.com/office/drawing/2014/main" id="{E8390B26-5CE7-4F7D-9BAE-ECCE00420C3F}"/>
                </a:ext>
              </a:extLst>
            </xdr:cNvPr>
            <xdr:cNvSpPr/>
          </xdr:nvSpPr>
          <xdr:spPr>
            <a:xfrm>
              <a:off x="2524125" y="119063"/>
              <a:ext cx="1724025" cy="61912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D66D6FD7-69F0-4819-BCAE-C51C5B5D3E57}"/>
                </a:ext>
              </a:extLst>
            </xdr:cNvPr>
            <xdr:cNvSpPr txBox="1"/>
          </xdr:nvSpPr>
          <xdr:spPr>
            <a:xfrm>
              <a:off x="2743200" y="133350"/>
              <a:ext cx="1323975" cy="33318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tx1"/>
                  </a:solidFill>
                  <a:latin typeface="Bahnschrift" panose="020B0502040204020203" pitchFamily="34" charset="0"/>
                </a:rPr>
                <a:t># Of Employees</a:t>
              </a:r>
            </a:p>
          </xdr:txBody>
        </xdr:sp>
      </xdr:grpSp>
      <xdr:sp macro="" textlink="'Pivot Table'!$A$4">
        <xdr:nvSpPr>
          <xdr:cNvPr id="13" name="TextBox 12">
            <a:extLst>
              <a:ext uri="{FF2B5EF4-FFF2-40B4-BE49-F238E27FC236}">
                <a16:creationId xmlns:a16="http://schemas.microsoft.com/office/drawing/2014/main" id="{D7612ED0-2D41-451A-B6E2-70C49BB736F3}"/>
              </a:ext>
            </a:extLst>
          </xdr:cNvPr>
          <xdr:cNvSpPr txBox="1"/>
        </xdr:nvSpPr>
        <xdr:spPr>
          <a:xfrm>
            <a:off x="2829932" y="353929"/>
            <a:ext cx="1085850" cy="306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E9B18A-BC1C-4D23-BC9B-6EFDA44F3B3E}" type="TxLink">
              <a:rPr lang="en-US" sz="1200" b="0" i="0" u="none" strike="noStrike">
                <a:solidFill>
                  <a:srgbClr val="000000"/>
                </a:solidFill>
                <a:latin typeface="Bahnschrift"/>
              </a:rPr>
              <a:pPr algn="ctr"/>
              <a:t>835</a:t>
            </a:fld>
            <a:endParaRPr lang="en-US" sz="2800"/>
          </a:p>
        </xdr:txBody>
      </xdr:sp>
    </xdr:grpSp>
    <xdr:clientData/>
  </xdr:twoCellAnchor>
  <xdr:twoCellAnchor>
    <xdr:from>
      <xdr:col>4</xdr:col>
      <xdr:colOff>67706</xdr:colOff>
      <xdr:row>4</xdr:row>
      <xdr:rowOff>152923</xdr:rowOff>
    </xdr:from>
    <xdr:to>
      <xdr:col>12</xdr:col>
      <xdr:colOff>214312</xdr:colOff>
      <xdr:row>15</xdr:row>
      <xdr:rowOff>127000</xdr:rowOff>
    </xdr:to>
    <xdr:grpSp>
      <xdr:nvGrpSpPr>
        <xdr:cNvPr id="47" name="Group 46">
          <a:extLst>
            <a:ext uri="{FF2B5EF4-FFF2-40B4-BE49-F238E27FC236}">
              <a16:creationId xmlns:a16="http://schemas.microsoft.com/office/drawing/2014/main" id="{A5096ADD-F7A6-48A4-A51D-FC8C0959D543}"/>
            </a:ext>
          </a:extLst>
        </xdr:cNvPr>
        <xdr:cNvGrpSpPr/>
      </xdr:nvGrpSpPr>
      <xdr:grpSpPr>
        <a:xfrm>
          <a:off x="2523039" y="787923"/>
          <a:ext cx="5057273" cy="1720327"/>
          <a:chOff x="2505903" y="828675"/>
          <a:chExt cx="3679172" cy="1697011"/>
        </a:xfrm>
      </xdr:grpSpPr>
      <xdr:sp macro="" textlink="">
        <xdr:nvSpPr>
          <xdr:cNvPr id="7" name="Rectangle: Rounded Corners 6">
            <a:extLst>
              <a:ext uri="{FF2B5EF4-FFF2-40B4-BE49-F238E27FC236}">
                <a16:creationId xmlns:a16="http://schemas.microsoft.com/office/drawing/2014/main" id="{3E1CA14D-3AE3-4AEB-8538-4CADCBEBE4CB}"/>
              </a:ext>
            </a:extLst>
          </xdr:cNvPr>
          <xdr:cNvSpPr/>
        </xdr:nvSpPr>
        <xdr:spPr>
          <a:xfrm>
            <a:off x="2505903" y="828675"/>
            <a:ext cx="3670419" cy="169701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6" name="Chart 45">
            <a:extLst>
              <a:ext uri="{FF2B5EF4-FFF2-40B4-BE49-F238E27FC236}">
                <a16:creationId xmlns:a16="http://schemas.microsoft.com/office/drawing/2014/main" id="{B2F21B3C-C959-4B9A-A3AA-47E029250E4D}"/>
              </a:ext>
            </a:extLst>
          </xdr:cNvPr>
          <xdr:cNvGraphicFramePr>
            <a:graphicFrameLocks/>
          </xdr:cNvGraphicFramePr>
        </xdr:nvGraphicFramePr>
        <xdr:xfrm>
          <a:off x="2517400" y="852257"/>
          <a:ext cx="3667675" cy="167342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12</xdr:col>
      <xdr:colOff>409471</xdr:colOff>
      <xdr:row>5</xdr:row>
      <xdr:rowOff>3225</xdr:rowOff>
    </xdr:from>
    <xdr:to>
      <xdr:col>20</xdr:col>
      <xdr:colOff>119062</xdr:colOff>
      <xdr:row>15</xdr:row>
      <xdr:rowOff>127000</xdr:rowOff>
    </xdr:to>
    <xdr:grpSp>
      <xdr:nvGrpSpPr>
        <xdr:cNvPr id="49" name="Group 48">
          <a:extLst>
            <a:ext uri="{FF2B5EF4-FFF2-40B4-BE49-F238E27FC236}">
              <a16:creationId xmlns:a16="http://schemas.microsoft.com/office/drawing/2014/main" id="{22026CF2-A653-477A-B555-F13DF9110035}"/>
            </a:ext>
          </a:extLst>
        </xdr:cNvPr>
        <xdr:cNvGrpSpPr/>
      </xdr:nvGrpSpPr>
      <xdr:grpSpPr>
        <a:xfrm>
          <a:off x="7775471" y="796975"/>
          <a:ext cx="4620258" cy="1711275"/>
          <a:chOff x="6752100" y="838363"/>
          <a:chExt cx="3854903" cy="1764003"/>
        </a:xfrm>
      </xdr:grpSpPr>
      <xdr:sp macro="" textlink="">
        <xdr:nvSpPr>
          <xdr:cNvPr id="8" name="Rectangle: Rounded Corners 7">
            <a:extLst>
              <a:ext uri="{FF2B5EF4-FFF2-40B4-BE49-F238E27FC236}">
                <a16:creationId xmlns:a16="http://schemas.microsoft.com/office/drawing/2014/main" id="{9B14AD21-E54D-4C80-8B28-9739A3B2CCF0}"/>
              </a:ext>
            </a:extLst>
          </xdr:cNvPr>
          <xdr:cNvSpPr/>
        </xdr:nvSpPr>
        <xdr:spPr>
          <a:xfrm>
            <a:off x="6752100" y="838363"/>
            <a:ext cx="3854903" cy="1764003"/>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8" name="Chart 47">
            <a:extLst>
              <a:ext uri="{FF2B5EF4-FFF2-40B4-BE49-F238E27FC236}">
                <a16:creationId xmlns:a16="http://schemas.microsoft.com/office/drawing/2014/main" id="{29D9DE7B-8358-4AB1-87E9-C7864F709D21}"/>
              </a:ext>
            </a:extLst>
          </xdr:cNvPr>
          <xdr:cNvGraphicFramePr>
            <a:graphicFrameLocks/>
          </xdr:cNvGraphicFramePr>
        </xdr:nvGraphicFramePr>
        <xdr:xfrm>
          <a:off x="6846094" y="943995"/>
          <a:ext cx="3554865" cy="1505291"/>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3</xdr:col>
      <xdr:colOff>578113</xdr:colOff>
      <xdr:row>16</xdr:row>
      <xdr:rowOff>42081</xdr:rowOff>
    </xdr:from>
    <xdr:to>
      <xdr:col>12</xdr:col>
      <xdr:colOff>238125</xdr:colOff>
      <xdr:row>30</xdr:row>
      <xdr:rowOff>0</xdr:rowOff>
    </xdr:to>
    <xdr:grpSp>
      <xdr:nvGrpSpPr>
        <xdr:cNvPr id="66" name="Group 65">
          <a:extLst>
            <a:ext uri="{FF2B5EF4-FFF2-40B4-BE49-F238E27FC236}">
              <a16:creationId xmlns:a16="http://schemas.microsoft.com/office/drawing/2014/main" id="{6F2AADFF-40AF-4E78-9A9C-EC695F735C31}"/>
            </a:ext>
          </a:extLst>
        </xdr:cNvPr>
        <xdr:cNvGrpSpPr/>
      </xdr:nvGrpSpPr>
      <xdr:grpSpPr>
        <a:xfrm>
          <a:off x="2419613" y="2582081"/>
          <a:ext cx="5184512" cy="2180419"/>
          <a:chOff x="2427082" y="2656163"/>
          <a:chExt cx="3912105" cy="2106337"/>
        </a:xfrm>
      </xdr:grpSpPr>
      <xdr:sp macro="" textlink="">
        <xdr:nvSpPr>
          <xdr:cNvPr id="9" name="Rectangle: Rounded Corners 8">
            <a:extLst>
              <a:ext uri="{FF2B5EF4-FFF2-40B4-BE49-F238E27FC236}">
                <a16:creationId xmlns:a16="http://schemas.microsoft.com/office/drawing/2014/main" id="{A9CD28AF-3263-42AB-ABC0-799CE157C46F}"/>
              </a:ext>
            </a:extLst>
          </xdr:cNvPr>
          <xdr:cNvSpPr/>
        </xdr:nvSpPr>
        <xdr:spPr>
          <a:xfrm>
            <a:off x="2475211" y="2656163"/>
            <a:ext cx="3863976" cy="2106337"/>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0" name="Chart 49">
            <a:extLst>
              <a:ext uri="{FF2B5EF4-FFF2-40B4-BE49-F238E27FC236}">
                <a16:creationId xmlns:a16="http://schemas.microsoft.com/office/drawing/2014/main" id="{8C1A08F4-EB37-4E0B-85F3-BFE63993C4D8}"/>
              </a:ext>
            </a:extLst>
          </xdr:cNvPr>
          <xdr:cNvGraphicFramePr>
            <a:graphicFrameLocks/>
          </xdr:cNvGraphicFramePr>
        </xdr:nvGraphicFramePr>
        <xdr:xfrm>
          <a:off x="2427082" y="2704733"/>
          <a:ext cx="3862917" cy="2026653"/>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380117</xdr:colOff>
      <xdr:row>0</xdr:row>
      <xdr:rowOff>103188</xdr:rowOff>
    </xdr:from>
    <xdr:to>
      <xdr:col>12</xdr:col>
      <xdr:colOff>167392</xdr:colOff>
      <xdr:row>4</xdr:row>
      <xdr:rowOff>74613</xdr:rowOff>
    </xdr:to>
    <xdr:grpSp>
      <xdr:nvGrpSpPr>
        <xdr:cNvPr id="51" name="Group 50">
          <a:extLst>
            <a:ext uri="{FF2B5EF4-FFF2-40B4-BE49-F238E27FC236}">
              <a16:creationId xmlns:a16="http://schemas.microsoft.com/office/drawing/2014/main" id="{1DDFC2B7-CFFA-4D92-A74F-F3175FE728E6}"/>
            </a:ext>
          </a:extLst>
        </xdr:cNvPr>
        <xdr:cNvGrpSpPr/>
      </xdr:nvGrpSpPr>
      <xdr:grpSpPr>
        <a:xfrm>
          <a:off x="5290784" y="103188"/>
          <a:ext cx="2242608" cy="606425"/>
          <a:chOff x="2524125" y="119063"/>
          <a:chExt cx="1724025" cy="619125"/>
        </a:xfrm>
      </xdr:grpSpPr>
      <xdr:grpSp>
        <xdr:nvGrpSpPr>
          <xdr:cNvPr id="52" name="Group 51">
            <a:extLst>
              <a:ext uri="{FF2B5EF4-FFF2-40B4-BE49-F238E27FC236}">
                <a16:creationId xmlns:a16="http://schemas.microsoft.com/office/drawing/2014/main" id="{6D41A6A0-6DFE-4E2B-966D-9FFFA181026D}"/>
              </a:ext>
            </a:extLst>
          </xdr:cNvPr>
          <xdr:cNvGrpSpPr/>
        </xdr:nvGrpSpPr>
        <xdr:grpSpPr>
          <a:xfrm>
            <a:off x="2524125" y="119063"/>
            <a:ext cx="1724025" cy="619125"/>
            <a:chOff x="2524125" y="119063"/>
            <a:chExt cx="1724025" cy="619125"/>
          </a:xfrm>
        </xdr:grpSpPr>
        <xdr:sp macro="" textlink="">
          <xdr:nvSpPr>
            <xdr:cNvPr id="54" name="Rectangle: Rounded Corners 53">
              <a:extLst>
                <a:ext uri="{FF2B5EF4-FFF2-40B4-BE49-F238E27FC236}">
                  <a16:creationId xmlns:a16="http://schemas.microsoft.com/office/drawing/2014/main" id="{46D40CC1-A842-46DA-8428-7ECFEF329B97}"/>
                </a:ext>
              </a:extLst>
            </xdr:cNvPr>
            <xdr:cNvSpPr/>
          </xdr:nvSpPr>
          <xdr:spPr>
            <a:xfrm>
              <a:off x="2524125" y="119063"/>
              <a:ext cx="1724025" cy="61912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TextBox 54">
              <a:extLst>
                <a:ext uri="{FF2B5EF4-FFF2-40B4-BE49-F238E27FC236}">
                  <a16:creationId xmlns:a16="http://schemas.microsoft.com/office/drawing/2014/main" id="{84825190-C293-4BDB-84FA-8F5B78E82F9B}"/>
                </a:ext>
              </a:extLst>
            </xdr:cNvPr>
            <xdr:cNvSpPr txBox="1"/>
          </xdr:nvSpPr>
          <xdr:spPr>
            <a:xfrm>
              <a:off x="2554666" y="133350"/>
              <a:ext cx="1663995" cy="26394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tx1"/>
                  </a:solidFill>
                  <a:latin typeface="Bahnschrift" panose="020B0502040204020203" pitchFamily="34" charset="0"/>
                </a:rPr>
                <a:t>Average Of Tenure</a:t>
              </a:r>
            </a:p>
          </xdr:txBody>
        </xdr:sp>
      </xdr:grpSp>
      <xdr:sp macro="" textlink="'Pivot Table'!$B$4">
        <xdr:nvSpPr>
          <xdr:cNvPr id="53" name="TextBox 52">
            <a:extLst>
              <a:ext uri="{FF2B5EF4-FFF2-40B4-BE49-F238E27FC236}">
                <a16:creationId xmlns:a16="http://schemas.microsoft.com/office/drawing/2014/main" id="{985E1FBF-30C8-4575-A97E-5A89610FABE0}"/>
              </a:ext>
            </a:extLst>
          </xdr:cNvPr>
          <xdr:cNvSpPr txBox="1"/>
        </xdr:nvSpPr>
        <xdr:spPr>
          <a:xfrm>
            <a:off x="2829932" y="374601"/>
            <a:ext cx="1085850" cy="341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62B791-CDFE-474E-BA34-3F78562EA483}" type="TxLink">
              <a:rPr lang="en-US" sz="2000" b="0" i="0" u="none" strike="noStrike">
                <a:solidFill>
                  <a:srgbClr val="000000"/>
                </a:solidFill>
                <a:latin typeface="Bahnschrift"/>
              </a:rPr>
              <a:pPr algn="ctr"/>
              <a:t>12.3</a:t>
            </a:fld>
            <a:endParaRPr lang="en-US" sz="3600"/>
          </a:p>
        </xdr:txBody>
      </xdr:sp>
    </xdr:grpSp>
    <xdr:clientData/>
  </xdr:twoCellAnchor>
  <xdr:twoCellAnchor>
    <xdr:from>
      <xdr:col>12</xdr:col>
      <xdr:colOff>452258</xdr:colOff>
      <xdr:row>0</xdr:row>
      <xdr:rowOff>103188</xdr:rowOff>
    </xdr:from>
    <xdr:to>
      <xdr:col>16</xdr:col>
      <xdr:colOff>130968</xdr:colOff>
      <xdr:row>4</xdr:row>
      <xdr:rowOff>74613</xdr:rowOff>
    </xdr:to>
    <xdr:grpSp>
      <xdr:nvGrpSpPr>
        <xdr:cNvPr id="73" name="Group 72">
          <a:extLst>
            <a:ext uri="{FF2B5EF4-FFF2-40B4-BE49-F238E27FC236}">
              <a16:creationId xmlns:a16="http://schemas.microsoft.com/office/drawing/2014/main" id="{E63141B9-0C00-40C7-8056-A8A83F8F232D}"/>
            </a:ext>
          </a:extLst>
        </xdr:cNvPr>
        <xdr:cNvGrpSpPr/>
      </xdr:nvGrpSpPr>
      <xdr:grpSpPr>
        <a:xfrm>
          <a:off x="7818258" y="103188"/>
          <a:ext cx="2134043" cy="606425"/>
          <a:chOff x="7757318" y="85990"/>
          <a:chExt cx="1719264" cy="638175"/>
        </a:xfrm>
      </xdr:grpSpPr>
      <xdr:grpSp>
        <xdr:nvGrpSpPr>
          <xdr:cNvPr id="57" name="Group 56">
            <a:extLst>
              <a:ext uri="{FF2B5EF4-FFF2-40B4-BE49-F238E27FC236}">
                <a16:creationId xmlns:a16="http://schemas.microsoft.com/office/drawing/2014/main" id="{89A38FC1-3A66-4A41-A69E-00009F42442D}"/>
              </a:ext>
            </a:extLst>
          </xdr:cNvPr>
          <xdr:cNvGrpSpPr/>
        </xdr:nvGrpSpPr>
        <xdr:grpSpPr>
          <a:xfrm>
            <a:off x="7757318" y="85990"/>
            <a:ext cx="1719264" cy="638175"/>
            <a:chOff x="2524125" y="108258"/>
            <a:chExt cx="1724025" cy="619125"/>
          </a:xfrm>
        </xdr:grpSpPr>
        <xdr:sp macro="" textlink="">
          <xdr:nvSpPr>
            <xdr:cNvPr id="59" name="Rectangle: Rounded Corners 58">
              <a:extLst>
                <a:ext uri="{FF2B5EF4-FFF2-40B4-BE49-F238E27FC236}">
                  <a16:creationId xmlns:a16="http://schemas.microsoft.com/office/drawing/2014/main" id="{8957BD81-AE69-443A-991C-3AEE114F4303}"/>
                </a:ext>
              </a:extLst>
            </xdr:cNvPr>
            <xdr:cNvSpPr/>
          </xdr:nvSpPr>
          <xdr:spPr>
            <a:xfrm>
              <a:off x="2524125" y="108258"/>
              <a:ext cx="1724025" cy="61912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TextBox 59">
              <a:extLst>
                <a:ext uri="{FF2B5EF4-FFF2-40B4-BE49-F238E27FC236}">
                  <a16:creationId xmlns:a16="http://schemas.microsoft.com/office/drawing/2014/main" id="{BAF237B0-C7A3-45DD-A628-2AC143F83C9C}"/>
                </a:ext>
              </a:extLst>
            </xdr:cNvPr>
            <xdr:cNvSpPr txBox="1"/>
          </xdr:nvSpPr>
          <xdr:spPr>
            <a:xfrm>
              <a:off x="2743200" y="133350"/>
              <a:ext cx="1323975" cy="3341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tx1"/>
                  </a:solidFill>
                  <a:latin typeface="Bahnschrift" panose="020B0502040204020203" pitchFamily="34" charset="0"/>
                </a:rPr>
                <a:t>Average</a:t>
              </a:r>
              <a:r>
                <a:rPr lang="en-US" sz="1200">
                  <a:solidFill>
                    <a:schemeClr val="tx1"/>
                  </a:solidFill>
                  <a:latin typeface="Bahnschrift" panose="020B0502040204020203" pitchFamily="34" charset="0"/>
                </a:rPr>
                <a:t> Of Age</a:t>
              </a:r>
            </a:p>
          </xdr:txBody>
        </xdr:sp>
      </xdr:grpSp>
      <xdr:sp macro="" textlink="'Pivot Table'!$D$4">
        <xdr:nvSpPr>
          <xdr:cNvPr id="58" name="TextBox 57">
            <a:extLst>
              <a:ext uri="{FF2B5EF4-FFF2-40B4-BE49-F238E27FC236}">
                <a16:creationId xmlns:a16="http://schemas.microsoft.com/office/drawing/2014/main" id="{5A7AE81A-62B8-4329-8932-7FB11B0FD618}"/>
              </a:ext>
            </a:extLst>
          </xdr:cNvPr>
          <xdr:cNvSpPr txBox="1"/>
        </xdr:nvSpPr>
        <xdr:spPr>
          <a:xfrm>
            <a:off x="8171783" y="356071"/>
            <a:ext cx="1077955" cy="367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C5F1E9F-B245-40E9-860C-1C175035F098}" type="TxLink">
              <a:rPr lang="en-US" sz="2000" b="0" i="0" u="none" strike="noStrike">
                <a:solidFill>
                  <a:srgbClr val="000000"/>
                </a:solidFill>
                <a:latin typeface="Bahnschrift"/>
              </a:rPr>
              <a:pPr algn="ctr"/>
              <a:t>41.9</a:t>
            </a:fld>
            <a:endParaRPr lang="en-US" sz="3600"/>
          </a:p>
        </xdr:txBody>
      </xdr:sp>
    </xdr:grpSp>
    <xdr:clientData/>
  </xdr:twoCellAnchor>
  <xdr:twoCellAnchor>
    <xdr:from>
      <xdr:col>16</xdr:col>
      <xdr:colOff>420422</xdr:colOff>
      <xdr:row>0</xdr:row>
      <xdr:rowOff>103189</xdr:rowOff>
    </xdr:from>
    <xdr:to>
      <xdr:col>20</xdr:col>
      <xdr:colOff>71437</xdr:colOff>
      <xdr:row>4</xdr:row>
      <xdr:rowOff>83736</xdr:rowOff>
    </xdr:to>
    <xdr:grpSp>
      <xdr:nvGrpSpPr>
        <xdr:cNvPr id="74" name="Group 73">
          <a:extLst>
            <a:ext uri="{FF2B5EF4-FFF2-40B4-BE49-F238E27FC236}">
              <a16:creationId xmlns:a16="http://schemas.microsoft.com/office/drawing/2014/main" id="{72109259-099F-4292-9B26-89A13377A8A3}"/>
            </a:ext>
          </a:extLst>
        </xdr:cNvPr>
        <xdr:cNvGrpSpPr/>
      </xdr:nvGrpSpPr>
      <xdr:grpSpPr>
        <a:xfrm>
          <a:off x="10241755" y="103189"/>
          <a:ext cx="2106349" cy="615547"/>
          <a:chOff x="10385953" y="103189"/>
          <a:chExt cx="1712648" cy="647886"/>
        </a:xfrm>
      </xdr:grpSpPr>
      <xdr:grpSp>
        <xdr:nvGrpSpPr>
          <xdr:cNvPr id="62" name="Group 61">
            <a:extLst>
              <a:ext uri="{FF2B5EF4-FFF2-40B4-BE49-F238E27FC236}">
                <a16:creationId xmlns:a16="http://schemas.microsoft.com/office/drawing/2014/main" id="{7A1129A3-CA8B-435C-B2D4-011261583BA9}"/>
              </a:ext>
            </a:extLst>
          </xdr:cNvPr>
          <xdr:cNvGrpSpPr/>
        </xdr:nvGrpSpPr>
        <xdr:grpSpPr>
          <a:xfrm>
            <a:off x="10385953" y="103189"/>
            <a:ext cx="1712648" cy="638175"/>
            <a:chOff x="2512140" y="142165"/>
            <a:chExt cx="1724025" cy="619125"/>
          </a:xfrm>
        </xdr:grpSpPr>
        <xdr:sp macro="" textlink="">
          <xdr:nvSpPr>
            <xdr:cNvPr id="64" name="Rectangle: Rounded Corners 63">
              <a:extLst>
                <a:ext uri="{FF2B5EF4-FFF2-40B4-BE49-F238E27FC236}">
                  <a16:creationId xmlns:a16="http://schemas.microsoft.com/office/drawing/2014/main" id="{84793451-DA7C-4EC0-BA21-43C99C819C07}"/>
                </a:ext>
              </a:extLst>
            </xdr:cNvPr>
            <xdr:cNvSpPr/>
          </xdr:nvSpPr>
          <xdr:spPr>
            <a:xfrm>
              <a:off x="2512140" y="142165"/>
              <a:ext cx="1724025" cy="61912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TextBox 64">
              <a:extLst>
                <a:ext uri="{FF2B5EF4-FFF2-40B4-BE49-F238E27FC236}">
                  <a16:creationId xmlns:a16="http://schemas.microsoft.com/office/drawing/2014/main" id="{0AF2209D-1F7C-4E02-860D-9408FE74E74F}"/>
                </a:ext>
              </a:extLst>
            </xdr:cNvPr>
            <xdr:cNvSpPr txBox="1"/>
          </xdr:nvSpPr>
          <xdr:spPr>
            <a:xfrm>
              <a:off x="2743200" y="179553"/>
              <a:ext cx="1323975" cy="289461"/>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Bahnschrift" panose="020B0502040204020203" pitchFamily="34" charset="0"/>
                </a:rPr>
                <a:t>Total</a:t>
              </a:r>
              <a:r>
                <a:rPr lang="en-US" sz="1400" baseline="0">
                  <a:latin typeface="Bahnschrift" panose="020B0502040204020203" pitchFamily="34" charset="0"/>
                </a:rPr>
                <a:t> Salery</a:t>
              </a:r>
              <a:endParaRPr lang="en-US" sz="1400">
                <a:latin typeface="Bahnschrift" panose="020B0502040204020203" pitchFamily="34" charset="0"/>
              </a:endParaRPr>
            </a:p>
          </xdr:txBody>
        </xdr:sp>
      </xdr:grpSp>
      <xdr:sp macro="" textlink="'Pivot Table'!$C$4">
        <xdr:nvSpPr>
          <xdr:cNvPr id="63" name="TextBox 62">
            <a:extLst>
              <a:ext uri="{FF2B5EF4-FFF2-40B4-BE49-F238E27FC236}">
                <a16:creationId xmlns:a16="http://schemas.microsoft.com/office/drawing/2014/main" id="{6F23CAD9-3C4A-4C3F-A308-3854FA99683E}"/>
              </a:ext>
            </a:extLst>
          </xdr:cNvPr>
          <xdr:cNvSpPr txBox="1"/>
        </xdr:nvSpPr>
        <xdr:spPr>
          <a:xfrm>
            <a:off x="10761180" y="395544"/>
            <a:ext cx="1078684" cy="355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FDDB42-FC06-4D80-B4AD-AC6CDCB03556}" type="TxLink">
              <a:rPr lang="en-US" sz="1600" b="0" i="0" u="none" strike="noStrike">
                <a:solidFill>
                  <a:srgbClr val="000000"/>
                </a:solidFill>
                <a:latin typeface="Bahnschrift"/>
              </a:rPr>
              <a:pPr algn="ctr"/>
              <a:t> 65,262,833 </a:t>
            </a:fld>
            <a:endParaRPr lang="en-US" sz="2800"/>
          </a:p>
        </xdr:txBody>
      </xdr:sp>
    </xdr:grpSp>
    <xdr:clientData/>
  </xdr:twoCellAnchor>
  <xdr:twoCellAnchor>
    <xdr:from>
      <xdr:col>12</xdr:col>
      <xdr:colOff>406135</xdr:colOff>
      <xdr:row>16</xdr:row>
      <xdr:rowOff>42338</xdr:rowOff>
    </xdr:from>
    <xdr:to>
      <xdr:col>20</xdr:col>
      <xdr:colOff>205743</xdr:colOff>
      <xdr:row>30</xdr:row>
      <xdr:rowOff>10584</xdr:rowOff>
    </xdr:to>
    <xdr:sp macro="" textlink="">
      <xdr:nvSpPr>
        <xdr:cNvPr id="10" name="Rectangle: Rounded Corners 9">
          <a:extLst>
            <a:ext uri="{FF2B5EF4-FFF2-40B4-BE49-F238E27FC236}">
              <a16:creationId xmlns:a16="http://schemas.microsoft.com/office/drawing/2014/main" id="{0C005768-D5EA-44CE-BF9C-E05FD5B356EB}"/>
            </a:ext>
          </a:extLst>
        </xdr:cNvPr>
        <xdr:cNvSpPr/>
      </xdr:nvSpPr>
      <xdr:spPr>
        <a:xfrm>
          <a:off x="7772135" y="2582338"/>
          <a:ext cx="4710275" cy="2190746"/>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560917</xdr:colOff>
      <xdr:row>16</xdr:row>
      <xdr:rowOff>105834</xdr:rowOff>
    </xdr:from>
    <xdr:to>
      <xdr:col>16</xdr:col>
      <xdr:colOff>539750</xdr:colOff>
      <xdr:row>30</xdr:row>
      <xdr:rowOff>10584</xdr:rowOff>
    </xdr:to>
    <xdr:graphicFrame macro="">
      <xdr:nvGraphicFramePr>
        <xdr:cNvPr id="68" name="Chart 67">
          <a:extLst>
            <a:ext uri="{FF2B5EF4-FFF2-40B4-BE49-F238E27FC236}">
              <a16:creationId xmlns:a16="http://schemas.microsoft.com/office/drawing/2014/main" id="{20E1FDD9-A47D-4769-BA01-E84ECAF33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516317</xdr:colOff>
      <xdr:row>16</xdr:row>
      <xdr:rowOff>134530</xdr:rowOff>
    </xdr:from>
    <xdr:to>
      <xdr:col>20</xdr:col>
      <xdr:colOff>253999</xdr:colOff>
      <xdr:row>30</xdr:row>
      <xdr:rowOff>79388</xdr:rowOff>
    </xdr:to>
    <xdr:graphicFrame macro="">
      <xdr:nvGraphicFramePr>
        <xdr:cNvPr id="72" name="Chart 71">
          <a:extLst>
            <a:ext uri="{FF2B5EF4-FFF2-40B4-BE49-F238E27FC236}">
              <a16:creationId xmlns:a16="http://schemas.microsoft.com/office/drawing/2014/main" id="{C788CE69-D286-4B5F-A840-CC93D8B6B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559594</xdr:colOff>
      <xdr:row>16</xdr:row>
      <xdr:rowOff>64822</xdr:rowOff>
    </xdr:from>
    <xdr:to>
      <xdr:col>16</xdr:col>
      <xdr:colOff>559594</xdr:colOff>
      <xdr:row>29</xdr:row>
      <xdr:rowOff>148166</xdr:rowOff>
    </xdr:to>
    <xdr:cxnSp macro="">
      <xdr:nvCxnSpPr>
        <xdr:cNvPr id="77" name="Straight Connector 76">
          <a:extLst>
            <a:ext uri="{FF2B5EF4-FFF2-40B4-BE49-F238E27FC236}">
              <a16:creationId xmlns:a16="http://schemas.microsoft.com/office/drawing/2014/main" id="{E2B40090-1727-43D0-9E1E-F26F56D7A982}"/>
            </a:ext>
          </a:extLst>
        </xdr:cNvPr>
        <xdr:cNvCxnSpPr/>
      </xdr:nvCxnSpPr>
      <xdr:spPr>
        <a:xfrm>
          <a:off x="10380927" y="2604822"/>
          <a:ext cx="0" cy="214709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0</xdr:row>
      <xdr:rowOff>0</xdr:rowOff>
    </xdr:from>
    <xdr:to>
      <xdr:col>3</xdr:col>
      <xdr:colOff>447675</xdr:colOff>
      <xdr:row>29</xdr:row>
      <xdr:rowOff>148167</xdr:rowOff>
    </xdr:to>
    <xdr:grpSp>
      <xdr:nvGrpSpPr>
        <xdr:cNvPr id="94" name="Group 93">
          <a:extLst>
            <a:ext uri="{FF2B5EF4-FFF2-40B4-BE49-F238E27FC236}">
              <a16:creationId xmlns:a16="http://schemas.microsoft.com/office/drawing/2014/main" id="{67B4213D-C6B1-471E-8399-B1FE53C4CFB8}"/>
            </a:ext>
          </a:extLst>
        </xdr:cNvPr>
        <xdr:cNvGrpSpPr/>
      </xdr:nvGrpSpPr>
      <xdr:grpSpPr>
        <a:xfrm>
          <a:off x="0" y="0"/>
          <a:ext cx="2289175" cy="4751917"/>
          <a:chOff x="0" y="0"/>
          <a:chExt cx="2289175" cy="4963583"/>
        </a:xfrm>
      </xdr:grpSpPr>
      <xdr:sp macro="" textlink="">
        <xdr:nvSpPr>
          <xdr:cNvPr id="2" name="Rectangle: Rounded Corners 1">
            <a:extLst>
              <a:ext uri="{FF2B5EF4-FFF2-40B4-BE49-F238E27FC236}">
                <a16:creationId xmlns:a16="http://schemas.microsoft.com/office/drawing/2014/main" id="{275D3C7E-3F98-400B-A72D-83598DC5DC87}"/>
              </a:ext>
            </a:extLst>
          </xdr:cNvPr>
          <xdr:cNvSpPr/>
        </xdr:nvSpPr>
        <xdr:spPr>
          <a:xfrm>
            <a:off x="0" y="0"/>
            <a:ext cx="2289175" cy="4963583"/>
          </a:xfrm>
          <a:prstGeom prst="roundRect">
            <a:avLst>
              <a:gd name="adj" fmla="val 4533"/>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TextBox 79">
            <a:extLst>
              <a:ext uri="{FF2B5EF4-FFF2-40B4-BE49-F238E27FC236}">
                <a16:creationId xmlns:a16="http://schemas.microsoft.com/office/drawing/2014/main" id="{97955C01-3E8A-431F-81B0-D0EEAF34E0FF}"/>
              </a:ext>
            </a:extLst>
          </xdr:cNvPr>
          <xdr:cNvSpPr txBox="1"/>
        </xdr:nvSpPr>
        <xdr:spPr>
          <a:xfrm>
            <a:off x="74084" y="63499"/>
            <a:ext cx="2127250" cy="687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latin typeface="Bahnschrift" panose="020B0502040204020203" pitchFamily="34" charset="0"/>
              </a:rPr>
              <a:t>Employees Health Dashbourd</a:t>
            </a:r>
          </a:p>
        </xdr:txBody>
      </xdr:sp>
    </xdr:grpSp>
    <xdr:clientData/>
  </xdr:twoCellAnchor>
  <xdr:twoCellAnchor>
    <xdr:from>
      <xdr:col>17</xdr:col>
      <xdr:colOff>550334</xdr:colOff>
      <xdr:row>23</xdr:row>
      <xdr:rowOff>158749</xdr:rowOff>
    </xdr:from>
    <xdr:to>
      <xdr:col>18</xdr:col>
      <xdr:colOff>560917</xdr:colOff>
      <xdr:row>26</xdr:row>
      <xdr:rowOff>21166</xdr:rowOff>
    </xdr:to>
    <xdr:sp macro="" textlink="">
      <xdr:nvSpPr>
        <xdr:cNvPr id="81" name="TextBox 80">
          <a:extLst>
            <a:ext uri="{FF2B5EF4-FFF2-40B4-BE49-F238E27FC236}">
              <a16:creationId xmlns:a16="http://schemas.microsoft.com/office/drawing/2014/main" id="{0CED8E3D-0669-4432-89F8-578A62702306}"/>
            </a:ext>
          </a:extLst>
        </xdr:cNvPr>
        <xdr:cNvSpPr txBox="1"/>
      </xdr:nvSpPr>
      <xdr:spPr>
        <a:xfrm>
          <a:off x="10985501" y="3809999"/>
          <a:ext cx="624416"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835</a:t>
          </a:r>
        </a:p>
      </xdr:txBody>
    </xdr:sp>
    <xdr:clientData/>
  </xdr:twoCellAnchor>
  <xdr:twoCellAnchor editAs="oneCell">
    <xdr:from>
      <xdr:col>0</xdr:col>
      <xdr:colOff>444500</xdr:colOff>
      <xdr:row>4</xdr:row>
      <xdr:rowOff>39607</xdr:rowOff>
    </xdr:from>
    <xdr:to>
      <xdr:col>2</xdr:col>
      <xdr:colOff>603250</xdr:colOff>
      <xdr:row>9</xdr:row>
      <xdr:rowOff>31751</xdr:rowOff>
    </xdr:to>
    <xdr:pic>
      <xdr:nvPicPr>
        <xdr:cNvPr id="96" name="Picture 95">
          <a:extLst>
            <a:ext uri="{FF2B5EF4-FFF2-40B4-BE49-F238E27FC236}">
              <a16:creationId xmlns:a16="http://schemas.microsoft.com/office/drawing/2014/main" id="{8EA56C62-AE3C-417A-B75D-8D3CC3E10AA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4500" y="674607"/>
          <a:ext cx="1386417" cy="785894"/>
        </a:xfrm>
        <a:prstGeom prst="rect">
          <a:avLst/>
        </a:prstGeom>
      </xdr:spPr>
    </xdr:pic>
    <xdr:clientData/>
  </xdr:twoCellAnchor>
  <xdr:twoCellAnchor editAs="oneCell">
    <xdr:from>
      <xdr:col>0</xdr:col>
      <xdr:colOff>158598</xdr:colOff>
      <xdr:row>21</xdr:row>
      <xdr:rowOff>42331</xdr:rowOff>
    </xdr:from>
    <xdr:to>
      <xdr:col>3</xdr:col>
      <xdr:colOff>154062</xdr:colOff>
      <xdr:row>29</xdr:row>
      <xdr:rowOff>95250</xdr:rowOff>
    </xdr:to>
    <mc:AlternateContent xmlns:mc="http://schemas.openxmlformats.org/markup-compatibility/2006" xmlns:a14="http://schemas.microsoft.com/office/drawing/2010/main">
      <mc:Choice Requires="a14">
        <xdr:graphicFrame macro="">
          <xdr:nvGraphicFramePr>
            <xdr:cNvPr id="97" name="Department 1">
              <a:extLst>
                <a:ext uri="{FF2B5EF4-FFF2-40B4-BE49-F238E27FC236}">
                  <a16:creationId xmlns:a16="http://schemas.microsoft.com/office/drawing/2014/main" id="{989F51B3-40F7-4BCA-845B-F30DEF1431F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8598" y="3376081"/>
              <a:ext cx="1836964" cy="1322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148166</xdr:colOff>
      <xdr:row>9</xdr:row>
      <xdr:rowOff>91017</xdr:rowOff>
    </xdr:from>
    <xdr:to>
      <xdr:col>3</xdr:col>
      <xdr:colOff>139548</xdr:colOff>
      <xdr:row>19</xdr:row>
      <xdr:rowOff>63501</xdr:rowOff>
    </xdr:to>
    <mc:AlternateContent xmlns:mc="http://schemas.openxmlformats.org/markup-compatibility/2006" xmlns:a14="http://schemas.microsoft.com/office/drawing/2010/main">
      <mc:Choice Requires="a14">
        <xdr:graphicFrame macro="">
          <xdr:nvGraphicFramePr>
            <xdr:cNvPr id="98" name="Age Group 1">
              <a:extLst>
                <a:ext uri="{FF2B5EF4-FFF2-40B4-BE49-F238E27FC236}">
                  <a16:creationId xmlns:a16="http://schemas.microsoft.com/office/drawing/2014/main" id="{0BE7DCDE-41EF-4E3B-A784-13A8BDFA0365}"/>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48166" y="1519767"/>
              <a:ext cx="1832882" cy="1559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169334</xdr:colOff>
      <xdr:row>0</xdr:row>
      <xdr:rowOff>95251</xdr:rowOff>
    </xdr:from>
    <xdr:to>
      <xdr:col>5</xdr:col>
      <xdr:colOff>63500</xdr:colOff>
      <xdr:row>3</xdr:row>
      <xdr:rowOff>127001</xdr:rowOff>
    </xdr:to>
    <xdr:pic>
      <xdr:nvPicPr>
        <xdr:cNvPr id="100" name="Picture 99">
          <a:extLst>
            <a:ext uri="{FF2B5EF4-FFF2-40B4-BE49-F238E27FC236}">
              <a16:creationId xmlns:a16="http://schemas.microsoft.com/office/drawing/2014/main" id="{FB1761A2-4BD2-4BEF-9D5A-2F319ED441B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24667" y="95251"/>
          <a:ext cx="508000" cy="508000"/>
        </a:xfrm>
        <a:prstGeom prst="rect">
          <a:avLst/>
        </a:prstGeom>
      </xdr:spPr>
    </xdr:pic>
    <xdr:clientData/>
  </xdr:twoCellAnchor>
  <xdr:twoCellAnchor editAs="oneCell">
    <xdr:from>
      <xdr:col>8</xdr:col>
      <xdr:colOff>423333</xdr:colOff>
      <xdr:row>0</xdr:row>
      <xdr:rowOff>137584</xdr:rowOff>
    </xdr:from>
    <xdr:to>
      <xdr:col>9</xdr:col>
      <xdr:colOff>127000</xdr:colOff>
      <xdr:row>2</xdr:row>
      <xdr:rowOff>137584</xdr:rowOff>
    </xdr:to>
    <xdr:pic>
      <xdr:nvPicPr>
        <xdr:cNvPr id="104" name="Picture 103">
          <a:extLst>
            <a:ext uri="{FF2B5EF4-FFF2-40B4-BE49-F238E27FC236}">
              <a16:creationId xmlns:a16="http://schemas.microsoft.com/office/drawing/2014/main" id="{E787115A-31E8-40E7-A444-9C733D5F10B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34000" y="137584"/>
          <a:ext cx="317500" cy="317500"/>
        </a:xfrm>
        <a:prstGeom prst="rect">
          <a:avLst/>
        </a:prstGeom>
      </xdr:spPr>
    </xdr:pic>
    <xdr:clientData/>
  </xdr:twoCellAnchor>
  <xdr:twoCellAnchor editAs="oneCell">
    <xdr:from>
      <xdr:col>12</xdr:col>
      <xdr:colOff>497419</xdr:colOff>
      <xdr:row>0</xdr:row>
      <xdr:rowOff>105835</xdr:rowOff>
    </xdr:from>
    <xdr:to>
      <xdr:col>13</xdr:col>
      <xdr:colOff>306918</xdr:colOff>
      <xdr:row>3</xdr:row>
      <xdr:rowOff>52917</xdr:rowOff>
    </xdr:to>
    <xdr:pic>
      <xdr:nvPicPr>
        <xdr:cNvPr id="106" name="Picture 105">
          <a:extLst>
            <a:ext uri="{FF2B5EF4-FFF2-40B4-BE49-F238E27FC236}">
              <a16:creationId xmlns:a16="http://schemas.microsoft.com/office/drawing/2014/main" id="{81EC0E16-EB75-4132-ADA3-8EA96CDE4FF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863419" y="105835"/>
          <a:ext cx="423332" cy="423332"/>
        </a:xfrm>
        <a:prstGeom prst="rect">
          <a:avLst/>
        </a:prstGeom>
      </xdr:spPr>
    </xdr:pic>
    <xdr:clientData/>
  </xdr:twoCellAnchor>
  <xdr:twoCellAnchor editAs="oneCell">
    <xdr:from>
      <xdr:col>16</xdr:col>
      <xdr:colOff>518584</xdr:colOff>
      <xdr:row>1</xdr:row>
      <xdr:rowOff>31750</xdr:rowOff>
    </xdr:from>
    <xdr:to>
      <xdr:col>17</xdr:col>
      <xdr:colOff>232833</xdr:colOff>
      <xdr:row>3</xdr:row>
      <xdr:rowOff>42333</xdr:rowOff>
    </xdr:to>
    <xdr:pic>
      <xdr:nvPicPr>
        <xdr:cNvPr id="108" name="Picture 107">
          <a:extLst>
            <a:ext uri="{FF2B5EF4-FFF2-40B4-BE49-F238E27FC236}">
              <a16:creationId xmlns:a16="http://schemas.microsoft.com/office/drawing/2014/main" id="{45F3AA8B-5A90-422D-BB1C-7940FBA6275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339917" y="190500"/>
          <a:ext cx="328083" cy="328083"/>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0.32301</cdr:x>
      <cdr:y>0.55435</cdr:y>
    </cdr:from>
    <cdr:to>
      <cdr:x>0.54625</cdr:x>
      <cdr:y>0.69835</cdr:y>
    </cdr:to>
    <cdr:sp macro="" textlink="">
      <cdr:nvSpPr>
        <cdr:cNvPr id="2" name="TextBox 1">
          <a:extLst xmlns:a="http://schemas.openxmlformats.org/drawingml/2006/main">
            <a:ext uri="{FF2B5EF4-FFF2-40B4-BE49-F238E27FC236}">
              <a16:creationId xmlns:a16="http://schemas.microsoft.com/office/drawing/2014/main" id="{BAF38985-96E6-45C2-BBEE-4CD788A6E761}"/>
            </a:ext>
          </a:extLst>
        </cdr:cNvPr>
        <cdr:cNvSpPr txBox="1"/>
      </cdr:nvSpPr>
      <cdr:spPr>
        <a:xfrm xmlns:a="http://schemas.openxmlformats.org/drawingml/2006/main">
          <a:off x="704420" y="1181494"/>
          <a:ext cx="486834" cy="3069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Elnabarawy" refreshedDate="46138.482953356484" createdVersion="7" refreshedVersion="7" minRefreshableVersion="3" recordCount="835" xr:uid="{BCEF33C8-5D93-46CD-A928-7D3512908AC7}">
  <cacheSource type="worksheet">
    <worksheetSource name="HR_Data"/>
  </cacheSource>
  <cacheFields count="18">
    <cacheField name="ID" numFmtId="0">
      <sharedItems containsSemiMixedTypes="0" containsString="0" containsNumber="1" containsInteger="1" minValue="700" maxValue="22696"/>
    </cacheField>
    <cacheField name="Name" numFmtId="0">
      <sharedItems/>
    </cacheField>
    <cacheField name="Surname" numFmtId="0">
      <sharedItems/>
    </cacheField>
    <cacheField name="Age" numFmtId="0">
      <sharedItems containsSemiMixedTypes="0" containsString="0" containsNumber="1" containsInteger="1" minValue="19" maxValue="65"/>
    </cacheField>
    <cacheField name="Tenure" numFmtId="0">
      <sharedItems containsSemiMixedTypes="0" containsString="0" containsNumber="1" containsInteger="1" minValue="0" maxValue="45"/>
    </cacheField>
    <cacheField name="Gender" numFmtId="0">
      <sharedItems count="2">
        <s v="F"/>
        <s v="M"/>
      </sharedItems>
    </cacheField>
    <cacheField name="Region" numFmtId="0">
      <sharedItems count="5">
        <s v="Northeast"/>
        <s v="West"/>
        <s v="Southeast"/>
        <s v="Midwest"/>
        <s v="Southwest"/>
      </sharedItems>
    </cacheField>
    <cacheField name="Department" numFmtId="0">
      <sharedItems count="7">
        <s v="Marketing"/>
        <s v="Sales"/>
        <s v="Customer Support"/>
        <s v="Operations and production"/>
        <s v="Finance"/>
        <s v="Leadership"/>
        <s v="Human Resources"/>
      </sharedItems>
    </cacheField>
    <cacheField name="Manager" numFmtId="0">
      <sharedItems/>
    </cacheField>
    <cacheField name="Hours" numFmtId="0">
      <sharedItems containsSemiMixedTypes="0" containsString="0" containsNumber="1" containsInteger="1" minValue="8" maxValue="40"/>
    </cacheField>
    <cacheField name="Salary Band" numFmtId="0">
      <sharedItems/>
    </cacheField>
    <cacheField name="FTE Salary" numFmtId="0">
      <sharedItems containsSemiMixedTypes="0" containsString="0" containsNumber="1" containsInteger="1" minValue="68000" maxValue="153810"/>
    </cacheField>
    <cacheField name="Salary" numFmtId="0">
      <sharedItems containsSemiMixedTypes="0" containsString="0" containsNumber="1" minValue="13600" maxValue="168321.25"/>
    </cacheField>
    <cacheField name="Performance" numFmtId="0">
      <sharedItems count="3">
        <s v="bottom"/>
        <s v="top"/>
        <s v="average"/>
      </sharedItems>
    </cacheField>
    <cacheField name="Variance" numFmtId="0">
      <sharedItems containsSemiMixedTypes="0" containsString="0" containsNumber="1" minValue="-33664.25" maxValue="112320"/>
    </cacheField>
    <cacheField name="Pay Group" numFmtId="0">
      <sharedItems count="3">
        <s v="UnderPaid"/>
        <s v="Paid Equal"/>
        <s v="Paid More"/>
      </sharedItems>
    </cacheField>
    <cacheField name="Age Group" numFmtId="0">
      <sharedItems count="8">
        <s v="32 - 36"/>
        <s v="More Than 50"/>
        <s v="42 - 46"/>
        <s v="37 - 41"/>
        <s v="26 - 31"/>
        <s v="25 - 21"/>
        <s v="47 - 50"/>
        <s v="Less Than 20"/>
      </sharedItems>
    </cacheField>
    <cacheField name="Total Salary (M) " numFmtId="0" formula="Salary/ 1000000" databaseField="0"/>
  </cacheFields>
  <extLst>
    <ext xmlns:x14="http://schemas.microsoft.com/office/spreadsheetml/2009/9/main" uri="{725AE2AE-9491-48be-B2B4-4EB974FC3084}">
      <x14:pivotCacheDefinition pivotCacheId="5946732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nabarawy" refreshedDate="46139.964637847224" backgroundQuery="1" createdVersion="7" refreshedVersion="7" minRefreshableVersion="3" recordCount="0" supportSubquery="1" supportAdvancedDrill="1" xr:uid="{5A43A7D2-E930-4127-9F6A-94A02A8540AB}">
  <cacheSource type="external" connectionId="2"/>
  <cacheFields count="3">
    <cacheField name="[HR_Data].[Department].[Department]" caption="Department" numFmtId="0" hierarchy="7" level="1">
      <sharedItems count="7">
        <s v="Customer Support"/>
        <s v="Finance"/>
        <s v="Human Resources"/>
        <s v="Leadership"/>
        <s v="Marketing"/>
        <s v="Operations and production"/>
        <s v="Sales"/>
      </sharedItems>
    </cacheField>
    <cacheField name="[Measures].[Count of ID]" caption="Count of ID" numFmtId="0" hierarchy="23" level="32767"/>
    <cacheField name="[HR_Data].[Region].[Region]" caption="Region" numFmtId="0" hierarchy="6" level="1">
      <sharedItems containsSemiMixedTypes="0" containsNonDate="0" containsString="0"/>
    </cacheField>
  </cacheFields>
  <cacheHierarchies count="32">
    <cacheHierarchy uniqueName="[HR_Data].[ID]" caption="ID" attribute="1" defaultMemberUniqueName="[HR_Data].[ID].[All]" allUniqueName="[HR_Data].[ID].[All]" dimensionUniqueName="[HR_Data]" displayFolder="" count="2" memberValueDatatype="20" unbalanced="0"/>
    <cacheHierarchy uniqueName="[HR_Data].[Name]" caption="Name" attribute="1" defaultMemberUniqueName="[HR_Data].[Name].[All]" allUniqueName="[HR_Data].[Name].[All]" dimensionUniqueName="[HR_Data]" displayFolder="" count="2" memberValueDatatype="130" unbalanced="0"/>
    <cacheHierarchy uniqueName="[HR_Data].[Surname]" caption="Surname" attribute="1" defaultMemberUniqueName="[HR_Data].[Surname].[All]" allUniqueName="[HR_Data].[Surname].[All]" dimensionUniqueName="[HR_Data]" displayFolder="" count="2" memberValueDatatype="130" unbalanced="0"/>
    <cacheHierarchy uniqueName="[HR_Data].[Age]" caption="Age" attribute="1" defaultMemberUniqueName="[HR_Data].[Age].[All]" allUniqueName="[HR_Data].[Age].[All]" dimensionUniqueName="[HR_Data]" displayFolder="" count="2" memberValueDatatype="20" unbalanced="0"/>
    <cacheHierarchy uniqueName="[HR_Data].[Tenure]" caption="Tenure" attribute="1" defaultMemberUniqueName="[HR_Data].[Tenure].[All]" allUniqueName="[HR_Data].[Tenure].[All]" dimensionUniqueName="[HR_Data]" displayFolder="" count="2"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Region]" caption="Region" attribute="1" defaultMemberUniqueName="[HR_Data].[Region].[All]" allUniqueName="[HR_Data].[Region].[All]" dimensionUniqueName="[HR_Data]" displayFolder="" count="2" memberValueDatatype="130" unbalanced="0">
      <fieldsUsage count="2">
        <fieldUsage x="-1"/>
        <fieldUsage x="2"/>
      </fieldsUsage>
    </cacheHierarchy>
    <cacheHierarchy uniqueName="[HR_Data].[Department]" caption="Department" attribute="1" defaultMemberUniqueName="[HR_Data].[Department].[All]" allUniqueName="[HR_Data].[Department].[All]" dimensionUniqueName="[HR_Data]" displayFolder="" count="2" memberValueDatatype="130" unbalanced="0">
      <fieldsUsage count="2">
        <fieldUsage x="-1"/>
        <fieldUsage x="0"/>
      </fieldsUsage>
    </cacheHierarchy>
    <cacheHierarchy uniqueName="[HR_Data].[Manager]" caption="Manager" attribute="1" defaultMemberUniqueName="[HR_Data].[Manager].[All]" allUniqueName="[HR_Data].[Manager].[All]" dimensionUniqueName="[HR_Data]" displayFolder="" count="2" memberValueDatatype="130" unbalanced="0"/>
    <cacheHierarchy uniqueName="[HR_Data].[Hours]" caption="Hours" attribute="1" defaultMemberUniqueName="[HR_Data].[Hours].[All]" allUniqueName="[HR_Data].[Hours].[All]" dimensionUniqueName="[HR_Data]" displayFolder="" count="2" memberValueDatatype="20" unbalanced="0"/>
    <cacheHierarchy uniqueName="[HR_Data].[Salary Band]" caption="Salary Band" attribute="1" defaultMemberUniqueName="[HR_Data].[Salary Band].[All]" allUniqueName="[HR_Data].[Salary Band].[All]" dimensionUniqueName="[HR_Data]" displayFolder="" count="2" memberValueDatatype="130" unbalanced="0"/>
    <cacheHierarchy uniqueName="[HR_Data].[FTE Salary]" caption="FTE Salary" attribute="1" defaultMemberUniqueName="[HR_Data].[FTE Salary].[All]" allUniqueName="[HR_Data].[FTE Salary].[All]" dimensionUniqueName="[HR_Data]" displayFolder="" count="2" memberValueDatatype="20" unbalanced="0"/>
    <cacheHierarchy uniqueName="[HR_Data].[Salary]" caption="Salary" attribute="1" defaultMemberUniqueName="[HR_Data].[Salary].[All]" allUniqueName="[HR_Data].[Salary].[All]" dimensionUniqueName="[HR_Data]" displayFolder="" count="2" memberValueDatatype="5" unbalanced="0"/>
    <cacheHierarchy uniqueName="[HR_Data].[Performance]" caption="Performance" attribute="1" defaultMemberUniqueName="[HR_Data].[Performance].[All]" allUniqueName="[HR_Data].[Performance].[All]" dimensionUniqueName="[HR_Data]" displayFolder="" count="2" memberValueDatatype="130" unbalanced="0"/>
    <cacheHierarchy uniqueName="[HR_Data].[Variance]" caption="Variance" attribute="1" defaultMemberUniqueName="[HR_Data].[Variance].[All]" allUniqueName="[HR_Data].[Variance].[All]" dimensionUniqueName="[HR_Data]" displayFolder="" count="2" memberValueDatatype="5" unbalanced="0"/>
    <cacheHierarchy uniqueName="[HR_Data].[Pay Group]" caption="Pay Group" attribute="1" defaultMemberUniqueName="[HR_Data].[Pay Group].[All]" allUniqueName="[HR_Data].[Pay Group].[All]" dimensionUniqueName="[HR_Data]" displayFolder="" count="2" memberValueDatatype="130" unbalanced="0"/>
    <cacheHierarchy uniqueName="[HR_Data].[Age Group]" caption="Age Group" attribute="1" defaultMemberUniqueName="[HR_Data].[Age Group].[All]" allUniqueName="[HR_Data].[Age Group].[All]" dimensionUniqueName="[HR_Data]" displayFolder="" count="2" memberValueDatatype="130" unbalanced="0"/>
    <cacheHierarchy uniqueName="[Measures].[Count of Manager]" caption="Count of Manager" measure="1" displayFolder="" measureGroup="HR_Data" count="0">
      <extLst>
        <ext xmlns:x15="http://schemas.microsoft.com/office/spreadsheetml/2010/11/main" uri="{B97F6D7D-B522-45F9-BDA1-12C45D357490}">
          <x15:cacheHierarchy aggregatedColumn="8"/>
        </ext>
      </extLst>
    </cacheHierarchy>
    <cacheHierarchy uniqueName="[Measures].[Count of Salary Band]" caption="Count of Salary Band" measure="1" displayFolder="" measureGroup="HR_Data" count="0">
      <extLst>
        <ext xmlns:x15="http://schemas.microsoft.com/office/spreadsheetml/2010/11/main" uri="{B97F6D7D-B522-45F9-BDA1-12C45D357490}">
          <x15:cacheHierarchy aggregatedColumn="10"/>
        </ext>
      </extLst>
    </cacheHierarchy>
    <cacheHierarchy uniqueName="[Measures].[Sum of Hours]" caption="Sum of Hours" measure="1" displayFolder="" measureGroup="HR_Data" count="0">
      <extLst>
        <ext xmlns:x15="http://schemas.microsoft.com/office/spreadsheetml/2010/11/main" uri="{B97F6D7D-B522-45F9-BDA1-12C45D357490}">
          <x15:cacheHierarchy aggregatedColumn="9"/>
        </ext>
      </extLst>
    </cacheHierarchy>
    <cacheHierarchy uniqueName="[Measures].[Count of Hours]" caption="Count of Hours" measure="1" displayFolder="" measureGroup="HR_Data" count="0">
      <extLst>
        <ext xmlns:x15="http://schemas.microsoft.com/office/spreadsheetml/2010/11/main" uri="{B97F6D7D-B522-45F9-BDA1-12C45D357490}">
          <x15:cacheHierarchy aggregatedColumn="9"/>
        </ext>
      </extLst>
    </cacheHierarchy>
    <cacheHierarchy uniqueName="[Measures].[Average of Hours]" caption="Average of Hours" measure="1" displayFolder="" measureGroup="HR_Data" count="0">
      <extLst>
        <ext xmlns:x15="http://schemas.microsoft.com/office/spreadsheetml/2010/11/main" uri="{B97F6D7D-B522-45F9-BDA1-12C45D357490}">
          <x15:cacheHierarchy aggregatedColumn="9"/>
        </ext>
      </extLst>
    </cacheHierarchy>
    <cacheHierarchy uniqueName="[Measures].[Sum of ID]" caption="Sum of ID" measure="1" displayFolder="" measureGroup="HR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HR_Data" count="0" oneField="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HR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HR_Data" count="0">
      <extLst>
        <ext xmlns:x15="http://schemas.microsoft.com/office/spreadsheetml/2010/11/main" uri="{B97F6D7D-B522-45F9-BDA1-12C45D357490}">
          <x15:cacheHierarchy aggregatedColumn="1"/>
        </ext>
      </extLst>
    </cacheHierarchy>
    <cacheHierarchy uniqueName="[Measures].[Count Department]" caption="Count Department" measure="1" displayFolder="" measureGroup="HR_Data" count="0"/>
    <cacheHierarchy uniqueName="[Measures].[Count Region]" caption="Count Region" measure="1" displayFolder="" measureGroup="HR_Data" count="0"/>
    <cacheHierarchy uniqueName="[Measures].[Average Salary]" caption="Average Salary" measure="1" displayFolder="" measureGroup="HR_Data" count="0"/>
    <cacheHierarchy uniqueName="[Measures].[Salary (M)]" caption="Salary (M)"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nabarawy" refreshedDate="46139.964638310186" backgroundQuery="1" createdVersion="7" refreshedVersion="7" minRefreshableVersion="3" recordCount="0" supportSubquery="1" supportAdvancedDrill="1" xr:uid="{8FDEF6E1-DE20-43DB-8423-397D2F70E151}">
  <cacheSource type="external" connectionId="2"/>
  <cacheFields count="3">
    <cacheField name="[HR_Data].[Name].[Name]" caption="Name" numFmtId="0" hierarchy="1" level="1">
      <sharedItems count="10">
        <s v="Christopher"/>
        <s v="David"/>
        <s v="Jennifer"/>
        <s v="John"/>
        <s v="Joseph"/>
        <s v="Michael"/>
        <s v="Richard"/>
        <s v="Robert"/>
        <s v="Timothy"/>
        <s v="William"/>
      </sharedItems>
    </cacheField>
    <cacheField name="[Measures].[Salary (M)]" caption="Salary (M)" numFmtId="0" hierarchy="29" level="32767"/>
    <cacheField name="[HR_Data].[Region].[Region]" caption="Region" numFmtId="0" hierarchy="6" level="1">
      <sharedItems containsSemiMixedTypes="0" containsNonDate="0" containsString="0"/>
    </cacheField>
  </cacheFields>
  <cacheHierarchies count="32">
    <cacheHierarchy uniqueName="[HR_Data].[ID]" caption="ID" attribute="1" defaultMemberUniqueName="[HR_Data].[ID].[All]" allUniqueName="[HR_Data].[ID].[All]" dimensionUniqueName="[HR_Data]" displayFolder="" count="0" memberValueDatatype="20" unbalanced="0"/>
    <cacheHierarchy uniqueName="[HR_Data].[Name]" caption="Name" attribute="1" defaultMemberUniqueName="[HR_Data].[Name].[All]" allUniqueName="[HR_Data].[Name].[All]" dimensionUniqueName="[HR_Data]" displayFolder="" count="2" memberValueDatatype="130" unbalanced="0">
      <fieldsUsage count="2">
        <fieldUsage x="-1"/>
        <fieldUsage x="0"/>
      </fieldsUsage>
    </cacheHierarchy>
    <cacheHierarchy uniqueName="[HR_Data].[Surname]" caption="Surname" attribute="1" defaultMemberUniqueName="[HR_Data].[Surname].[All]" allUniqueName="[HR_Data].[Surname].[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Tenure]" caption="Tenure" attribute="1" defaultMemberUniqueName="[HR_Data].[Tenure].[All]" allUniqueName="[HR_Data].[Tenure].[All]" dimensionUniqueName="[HR_Data]" displayFolder="" count="0" memberValueDatatype="20" unbalanced="0"/>
    <cacheHierarchy uniqueName="[HR_Data].[Gender]" caption="Gender" attribute="1" defaultMemberUniqueName="[HR_Data].[Gender].[All]" allUniqueName="[HR_Data].[Gender].[All]" dimensionUniqueName="[HR_Data]" displayFolder="" count="0" memberValueDatatype="130" unbalanced="0"/>
    <cacheHierarchy uniqueName="[HR_Data].[Region]" caption="Region" attribute="1" defaultMemberUniqueName="[HR_Data].[Region].[All]" allUniqueName="[HR_Data].[Region].[All]" dimensionUniqueName="[HR_Data]" displayFolder="" count="2" memberValueDatatype="130" unbalanced="0">
      <fieldsUsage count="2">
        <fieldUsage x="-1"/>
        <fieldUsage x="2"/>
      </fieldsUsage>
    </cacheHierarchy>
    <cacheHierarchy uniqueName="[HR_Data].[Department]" caption="Department" attribute="1" defaultMemberUniqueName="[HR_Data].[Department].[All]" allUniqueName="[HR_Data].[Department].[All]" dimensionUniqueName="[HR_Data]" displayFolder="" count="0" memberValueDatatype="130" unbalanced="0"/>
    <cacheHierarchy uniqueName="[HR_Data].[Manager]" caption="Manager" attribute="1" defaultMemberUniqueName="[HR_Data].[Manager].[All]" allUniqueName="[HR_Data].[Manager].[All]" dimensionUniqueName="[HR_Data]" displayFolder="" count="0" memberValueDatatype="130" unbalanced="0"/>
    <cacheHierarchy uniqueName="[HR_Data].[Hours]" caption="Hours" attribute="1" defaultMemberUniqueName="[HR_Data].[Hours].[All]" allUniqueName="[HR_Data].[Hours].[All]" dimensionUniqueName="[HR_Data]" displayFolder="" count="0" memberValueDatatype="20" unbalanced="0"/>
    <cacheHierarchy uniqueName="[HR_Data].[Salary Band]" caption="Salary Band" attribute="1" defaultMemberUniqueName="[HR_Data].[Salary Band].[All]" allUniqueName="[HR_Data].[Salary Band].[All]" dimensionUniqueName="[HR_Data]" displayFolder="" count="0" memberValueDatatype="130" unbalanced="0"/>
    <cacheHierarchy uniqueName="[HR_Data].[FTE Salary]" caption="FTE Salary" attribute="1" defaultMemberUniqueName="[HR_Data].[FTE Salary].[All]" allUniqueName="[HR_Data].[FTE Salary].[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5" unbalanced="0"/>
    <cacheHierarchy uniqueName="[HR_Data].[Performance]" caption="Performance" attribute="1" defaultMemberUniqueName="[HR_Data].[Performance].[All]" allUniqueName="[HR_Data].[Performance].[All]" dimensionUniqueName="[HR_Data]" displayFolder="" count="0" memberValueDatatype="130" unbalanced="0"/>
    <cacheHierarchy uniqueName="[HR_Data].[Variance]" caption="Variance" attribute="1" defaultMemberUniqueName="[HR_Data].[Variance].[All]" allUniqueName="[HR_Data].[Variance].[All]" dimensionUniqueName="[HR_Data]" displayFolder="" count="0" memberValueDatatype="5" unbalanced="0"/>
    <cacheHierarchy uniqueName="[HR_Data].[Pay Group]" caption="Pay Group" attribute="1" defaultMemberUniqueName="[HR_Data].[Pay Group].[All]" allUniqueName="[HR_Data].[Pay Group].[All]" dimensionUniqueName="[HR_Data]" displayFolder="" count="2" memberValueDatatype="130" unbalanced="0"/>
    <cacheHierarchy uniqueName="[HR_Data].[Age Group]" caption="Age Group" attribute="1" defaultMemberUniqueName="[HR_Data].[Age Group].[All]" allUniqueName="[HR_Data].[Age Group].[All]" dimensionUniqueName="[HR_Data]" displayFolder="" count="0" memberValueDatatype="130" unbalanced="0"/>
    <cacheHierarchy uniqueName="[Measures].[Count of Manager]" caption="Count of Manager" measure="1" displayFolder="" measureGroup="HR_Data" count="0">
      <extLst>
        <ext xmlns:x15="http://schemas.microsoft.com/office/spreadsheetml/2010/11/main" uri="{B97F6D7D-B522-45F9-BDA1-12C45D357490}">
          <x15:cacheHierarchy aggregatedColumn="8"/>
        </ext>
      </extLst>
    </cacheHierarchy>
    <cacheHierarchy uniqueName="[Measures].[Count of Salary Band]" caption="Count of Salary Band" measure="1" displayFolder="" measureGroup="HR_Data" count="0">
      <extLst>
        <ext xmlns:x15="http://schemas.microsoft.com/office/spreadsheetml/2010/11/main" uri="{B97F6D7D-B522-45F9-BDA1-12C45D357490}">
          <x15:cacheHierarchy aggregatedColumn="10"/>
        </ext>
      </extLst>
    </cacheHierarchy>
    <cacheHierarchy uniqueName="[Measures].[Sum of Hours]" caption="Sum of Hours" measure="1" displayFolder="" measureGroup="HR_Data" count="0">
      <extLst>
        <ext xmlns:x15="http://schemas.microsoft.com/office/spreadsheetml/2010/11/main" uri="{B97F6D7D-B522-45F9-BDA1-12C45D357490}">
          <x15:cacheHierarchy aggregatedColumn="9"/>
        </ext>
      </extLst>
    </cacheHierarchy>
    <cacheHierarchy uniqueName="[Measures].[Count of Hours]" caption="Count of Hours" measure="1" displayFolder="" measureGroup="HR_Data" count="0">
      <extLst>
        <ext xmlns:x15="http://schemas.microsoft.com/office/spreadsheetml/2010/11/main" uri="{B97F6D7D-B522-45F9-BDA1-12C45D357490}">
          <x15:cacheHierarchy aggregatedColumn="9"/>
        </ext>
      </extLst>
    </cacheHierarchy>
    <cacheHierarchy uniqueName="[Measures].[Average of Hours]" caption="Average of Hours" measure="1" displayFolder="" measureGroup="HR_Data" count="0">
      <extLst>
        <ext xmlns:x15="http://schemas.microsoft.com/office/spreadsheetml/2010/11/main" uri="{B97F6D7D-B522-45F9-BDA1-12C45D357490}">
          <x15:cacheHierarchy aggregatedColumn="9"/>
        </ext>
      </extLst>
    </cacheHierarchy>
    <cacheHierarchy uniqueName="[Measures].[Sum of ID]" caption="Sum of ID" measure="1" displayFolder="" measureGroup="HR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HR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HR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HR_Data" count="0">
      <extLst>
        <ext xmlns:x15="http://schemas.microsoft.com/office/spreadsheetml/2010/11/main" uri="{B97F6D7D-B522-45F9-BDA1-12C45D357490}">
          <x15:cacheHierarchy aggregatedColumn="1"/>
        </ext>
      </extLst>
    </cacheHierarchy>
    <cacheHierarchy uniqueName="[Measures].[Count Department]" caption="Count Department" measure="1" displayFolder="" measureGroup="HR_Data" count="0"/>
    <cacheHierarchy uniqueName="[Measures].[Count Region]" caption="Count Region" measure="1" displayFolder="" measureGroup="HR_Data" count="0"/>
    <cacheHierarchy uniqueName="[Measures].[Average Salary]" caption="Average Salary" measure="1" displayFolder="" measureGroup="HR_Data" count="0"/>
    <cacheHierarchy uniqueName="[Measures].[Salary (M)]" caption="Salary (M)" measure="1" displayFolder="" measureGroup="HR_Data" count="0" oneField="1">
      <fieldsUsage count="1">
        <fieldUsage x="1"/>
      </fieldsUsage>
    </cacheHierarchy>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nabarawy" refreshedDate="46139.96463865741" backgroundQuery="1" createdVersion="7" refreshedVersion="7" minRefreshableVersion="3" recordCount="0" supportSubquery="1" supportAdvancedDrill="1" xr:uid="{DA97929A-B45D-4E3D-AD63-47C2311DC08D}">
  <cacheSource type="external" connectionId="2"/>
  <cacheFields count="4">
    <cacheField name="[HR_Data].[Name].[Name]" caption="Name" numFmtId="0" hierarchy="1" level="1">
      <sharedItems count="10">
        <s v="Christopher"/>
        <s v="David"/>
        <s v="Jennifer"/>
        <s v="John"/>
        <s v="Joseph"/>
        <s v="Michael"/>
        <s v="Richard"/>
        <s v="Robert"/>
        <s v="Timothy"/>
        <s v="William"/>
      </sharedItems>
    </cacheField>
    <cacheField name="[HR_Data].[Performance].[Performance]" caption="Performance" numFmtId="0" hierarchy="13" level="1">
      <sharedItems count="3">
        <s v="average"/>
        <s v="bottom"/>
        <s v="top"/>
      </sharedItems>
    </cacheField>
    <cacheField name="[Measures].[Count of ID]" caption="Count of ID" numFmtId="0" hierarchy="23" level="32767"/>
    <cacheField name="[HR_Data].[Region].[Region]" caption="Region" numFmtId="0" hierarchy="6" level="1">
      <sharedItems containsSemiMixedTypes="0" containsNonDate="0" containsString="0"/>
    </cacheField>
  </cacheFields>
  <cacheHierarchies count="32">
    <cacheHierarchy uniqueName="[HR_Data].[ID]" caption="ID" attribute="1" defaultMemberUniqueName="[HR_Data].[ID].[All]" allUniqueName="[HR_Data].[ID].[All]" dimensionUniqueName="[HR_Data]" displayFolder="" count="0" memberValueDatatype="20" unbalanced="0"/>
    <cacheHierarchy uniqueName="[HR_Data].[Name]" caption="Name" attribute="1" defaultMemberUniqueName="[HR_Data].[Name].[All]" allUniqueName="[HR_Data].[Name].[All]" dimensionUniqueName="[HR_Data]" displayFolder="" count="2" memberValueDatatype="130" unbalanced="0">
      <fieldsUsage count="2">
        <fieldUsage x="-1"/>
        <fieldUsage x="0"/>
      </fieldsUsage>
    </cacheHierarchy>
    <cacheHierarchy uniqueName="[HR_Data].[Surname]" caption="Surname" attribute="1" defaultMemberUniqueName="[HR_Data].[Surname].[All]" allUniqueName="[HR_Data].[Surname].[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Tenure]" caption="Tenure" attribute="1" defaultMemberUniqueName="[HR_Data].[Tenure].[All]" allUniqueName="[HR_Data].[Tenure].[All]" dimensionUniqueName="[HR_Data]" displayFolder="" count="0" memberValueDatatype="20" unbalanced="0"/>
    <cacheHierarchy uniqueName="[HR_Data].[Gender]" caption="Gender" attribute="1" defaultMemberUniqueName="[HR_Data].[Gender].[All]" allUniqueName="[HR_Data].[Gender].[All]" dimensionUniqueName="[HR_Data]" displayFolder="" count="0" memberValueDatatype="130" unbalanced="0"/>
    <cacheHierarchy uniqueName="[HR_Data].[Region]" caption="Region" attribute="1" defaultMemberUniqueName="[HR_Data].[Region].[All]" allUniqueName="[HR_Data].[Region].[All]" dimensionUniqueName="[HR_Data]" displayFolder="" count="2" memberValueDatatype="130" unbalanced="0">
      <fieldsUsage count="2">
        <fieldUsage x="-1"/>
        <fieldUsage x="3"/>
      </fieldsUsage>
    </cacheHierarchy>
    <cacheHierarchy uniqueName="[HR_Data].[Department]" caption="Department" attribute="1" defaultMemberUniqueName="[HR_Data].[Department].[All]" allUniqueName="[HR_Data].[Department].[All]" dimensionUniqueName="[HR_Data]" displayFolder="" count="0" memberValueDatatype="130" unbalanced="0"/>
    <cacheHierarchy uniqueName="[HR_Data].[Manager]" caption="Manager" attribute="1" defaultMemberUniqueName="[HR_Data].[Manager].[All]" allUniqueName="[HR_Data].[Manager].[All]" dimensionUniqueName="[HR_Data]" displayFolder="" count="0" memberValueDatatype="130" unbalanced="0"/>
    <cacheHierarchy uniqueName="[HR_Data].[Hours]" caption="Hours" attribute="1" defaultMemberUniqueName="[HR_Data].[Hours].[All]" allUniqueName="[HR_Data].[Hours].[All]" dimensionUniqueName="[HR_Data]" displayFolder="" count="0" memberValueDatatype="20" unbalanced="0"/>
    <cacheHierarchy uniqueName="[HR_Data].[Salary Band]" caption="Salary Band" attribute="1" defaultMemberUniqueName="[HR_Data].[Salary Band].[All]" allUniqueName="[HR_Data].[Salary Band].[All]" dimensionUniqueName="[HR_Data]" displayFolder="" count="0" memberValueDatatype="130" unbalanced="0"/>
    <cacheHierarchy uniqueName="[HR_Data].[FTE Salary]" caption="FTE Salary" attribute="1" defaultMemberUniqueName="[HR_Data].[FTE Salary].[All]" allUniqueName="[HR_Data].[FTE Salary].[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5" unbalanced="0"/>
    <cacheHierarchy uniqueName="[HR_Data].[Performance]" caption="Performance" attribute="1" defaultMemberUniqueName="[HR_Data].[Performance].[All]" allUniqueName="[HR_Data].[Performance].[All]" dimensionUniqueName="[HR_Data]" displayFolder="" count="2" memberValueDatatype="130" unbalanced="0">
      <fieldsUsage count="2">
        <fieldUsage x="-1"/>
        <fieldUsage x="1"/>
      </fieldsUsage>
    </cacheHierarchy>
    <cacheHierarchy uniqueName="[HR_Data].[Variance]" caption="Variance" attribute="1" defaultMemberUniqueName="[HR_Data].[Variance].[All]" allUniqueName="[HR_Data].[Variance].[All]" dimensionUniqueName="[HR_Data]" displayFolder="" count="0" memberValueDatatype="5" unbalanced="0"/>
    <cacheHierarchy uniqueName="[HR_Data].[Pay Group]" caption="Pay Group" attribute="1" defaultMemberUniqueName="[HR_Data].[Pay Group].[All]" allUniqueName="[HR_Data].[Pay Group].[All]" dimensionUniqueName="[HR_Data]" displayFolder="" count="2" memberValueDatatype="130" unbalanced="0"/>
    <cacheHierarchy uniqueName="[HR_Data].[Age Group]" caption="Age Group" attribute="1" defaultMemberUniqueName="[HR_Data].[Age Group].[All]" allUniqueName="[HR_Data].[Age Group].[All]" dimensionUniqueName="[HR_Data]" displayFolder="" count="0" memberValueDatatype="130" unbalanced="0"/>
    <cacheHierarchy uniqueName="[Measures].[Count of Manager]" caption="Count of Manager" measure="1" displayFolder="" measureGroup="HR_Data" count="0">
      <extLst>
        <ext xmlns:x15="http://schemas.microsoft.com/office/spreadsheetml/2010/11/main" uri="{B97F6D7D-B522-45F9-BDA1-12C45D357490}">
          <x15:cacheHierarchy aggregatedColumn="8"/>
        </ext>
      </extLst>
    </cacheHierarchy>
    <cacheHierarchy uniqueName="[Measures].[Count of Salary Band]" caption="Count of Salary Band" measure="1" displayFolder="" measureGroup="HR_Data" count="0">
      <extLst>
        <ext xmlns:x15="http://schemas.microsoft.com/office/spreadsheetml/2010/11/main" uri="{B97F6D7D-B522-45F9-BDA1-12C45D357490}">
          <x15:cacheHierarchy aggregatedColumn="10"/>
        </ext>
      </extLst>
    </cacheHierarchy>
    <cacheHierarchy uniqueName="[Measures].[Sum of Hours]" caption="Sum of Hours" measure="1" displayFolder="" measureGroup="HR_Data" count="0">
      <extLst>
        <ext xmlns:x15="http://schemas.microsoft.com/office/spreadsheetml/2010/11/main" uri="{B97F6D7D-B522-45F9-BDA1-12C45D357490}">
          <x15:cacheHierarchy aggregatedColumn="9"/>
        </ext>
      </extLst>
    </cacheHierarchy>
    <cacheHierarchy uniqueName="[Measures].[Count of Hours]" caption="Count of Hours" measure="1" displayFolder="" measureGroup="HR_Data" count="0">
      <extLst>
        <ext xmlns:x15="http://schemas.microsoft.com/office/spreadsheetml/2010/11/main" uri="{B97F6D7D-B522-45F9-BDA1-12C45D357490}">
          <x15:cacheHierarchy aggregatedColumn="9"/>
        </ext>
      </extLst>
    </cacheHierarchy>
    <cacheHierarchy uniqueName="[Measures].[Average of Hours]" caption="Average of Hours" measure="1" displayFolder="" measureGroup="HR_Data" count="0">
      <extLst>
        <ext xmlns:x15="http://schemas.microsoft.com/office/spreadsheetml/2010/11/main" uri="{B97F6D7D-B522-45F9-BDA1-12C45D357490}">
          <x15:cacheHierarchy aggregatedColumn="9"/>
        </ext>
      </extLst>
    </cacheHierarchy>
    <cacheHierarchy uniqueName="[Measures].[Sum of ID]" caption="Sum of ID" measure="1" displayFolder="" measureGroup="HR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HR_Data" count="0" oneField="1">
      <fieldsUsage count="1">
        <fieldUsage x="2"/>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HR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HR_Data" count="0">
      <extLst>
        <ext xmlns:x15="http://schemas.microsoft.com/office/spreadsheetml/2010/11/main" uri="{B97F6D7D-B522-45F9-BDA1-12C45D357490}">
          <x15:cacheHierarchy aggregatedColumn="1"/>
        </ext>
      </extLst>
    </cacheHierarchy>
    <cacheHierarchy uniqueName="[Measures].[Count Department]" caption="Count Department" measure="1" displayFolder="" measureGroup="HR_Data" count="0"/>
    <cacheHierarchy uniqueName="[Measures].[Count Region]" caption="Count Region" measure="1" displayFolder="" measureGroup="HR_Data" count="0"/>
    <cacheHierarchy uniqueName="[Measures].[Average Salary]" caption="Average Salary" measure="1" displayFolder="" measureGroup="HR_Data" count="0"/>
    <cacheHierarchy uniqueName="[Measures].[Salary (M)]" caption="Salary (M)"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nabarawy" refreshedDate="46139.96463923611" backgroundQuery="1" createdVersion="7" refreshedVersion="7" minRefreshableVersion="3" recordCount="0" supportSubquery="1" supportAdvancedDrill="1" xr:uid="{80190C6B-8CF9-4E04-9ECF-D53C40296CB2}">
  <cacheSource type="external" connectionId="2"/>
  <cacheFields count="5">
    <cacheField name="[HR_Data].[Name].[Name]" caption="Name" numFmtId="0" hierarchy="1" level="1">
      <sharedItems count="10">
        <s v="Christopher"/>
        <s v="David"/>
        <s v="Jennifer"/>
        <s v="John"/>
        <s v="Joseph"/>
        <s v="Michael"/>
        <s v="Richard"/>
        <s v="Robert"/>
        <s v="Timothy"/>
        <s v="William"/>
      </sharedItems>
    </cacheField>
    <cacheField name="[Measures].[Count of ID]" caption="Count of ID" numFmtId="0" hierarchy="23" level="32767"/>
    <cacheField name="[HR_Data].[Age Group].[Age Group]" caption="Age Group" numFmtId="0" hierarchy="16" level="1">
      <sharedItems count="8">
        <s v="25 - 21"/>
        <s v="26 - 31"/>
        <s v="32 - 36"/>
        <s v="37 - 41"/>
        <s v="42 - 46"/>
        <s v="47 - 50"/>
        <s v="Less Than 20"/>
        <s v="More Than 50"/>
      </sharedItems>
    </cacheField>
    <cacheField name="[HR_Data].[Gender].[Gender]" caption="Gender" numFmtId="0" hierarchy="5" level="1">
      <sharedItems count="2">
        <s v="F"/>
        <s v="M"/>
      </sharedItems>
    </cacheField>
    <cacheField name="[HR_Data].[Region].[Region]" caption="Region" numFmtId="0" hierarchy="6" level="1">
      <sharedItems containsSemiMixedTypes="0" containsNonDate="0" containsString="0"/>
    </cacheField>
  </cacheFields>
  <cacheHierarchies count="32">
    <cacheHierarchy uniqueName="[HR_Data].[ID]" caption="ID" attribute="1" defaultMemberUniqueName="[HR_Data].[ID].[All]" allUniqueName="[HR_Data].[ID].[All]" dimensionUniqueName="[HR_Data]" displayFolder="" count="0" memberValueDatatype="20" unbalanced="0"/>
    <cacheHierarchy uniqueName="[HR_Data].[Name]" caption="Name" attribute="1" defaultMemberUniqueName="[HR_Data].[Name].[All]" allUniqueName="[HR_Data].[Name].[All]" dimensionUniqueName="[HR_Data]" displayFolder="" count="2" memberValueDatatype="130" unbalanced="0">
      <fieldsUsage count="2">
        <fieldUsage x="-1"/>
        <fieldUsage x="0"/>
      </fieldsUsage>
    </cacheHierarchy>
    <cacheHierarchy uniqueName="[HR_Data].[Surname]" caption="Surname" attribute="1" defaultMemberUniqueName="[HR_Data].[Surname].[All]" allUniqueName="[HR_Data].[Surname].[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Tenure]" caption="Tenure" attribute="1" defaultMemberUniqueName="[HR_Data].[Tenure].[All]" allUniqueName="[HR_Data].[Tenure].[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fieldsUsage count="2">
        <fieldUsage x="-1"/>
        <fieldUsage x="3"/>
      </fieldsUsage>
    </cacheHierarchy>
    <cacheHierarchy uniqueName="[HR_Data].[Region]" caption="Region" attribute="1" defaultMemberUniqueName="[HR_Data].[Region].[All]" allUniqueName="[HR_Data].[Region].[All]" dimensionUniqueName="[HR_Data]" displayFolder="" count="2" memberValueDatatype="130" unbalanced="0">
      <fieldsUsage count="2">
        <fieldUsage x="-1"/>
        <fieldUsage x="4"/>
      </fieldsUsage>
    </cacheHierarchy>
    <cacheHierarchy uniqueName="[HR_Data].[Department]" caption="Department" attribute="1" defaultMemberUniqueName="[HR_Data].[Department].[All]" allUniqueName="[HR_Data].[Department].[All]" dimensionUniqueName="[HR_Data]" displayFolder="" count="0" memberValueDatatype="130" unbalanced="0"/>
    <cacheHierarchy uniqueName="[HR_Data].[Manager]" caption="Manager" attribute="1" defaultMemberUniqueName="[HR_Data].[Manager].[All]" allUniqueName="[HR_Data].[Manager].[All]" dimensionUniqueName="[HR_Data]" displayFolder="" count="0" memberValueDatatype="130" unbalanced="0"/>
    <cacheHierarchy uniqueName="[HR_Data].[Hours]" caption="Hours" attribute="1" defaultMemberUniqueName="[HR_Data].[Hours].[All]" allUniqueName="[HR_Data].[Hours].[All]" dimensionUniqueName="[HR_Data]" displayFolder="" count="0" memberValueDatatype="20" unbalanced="0"/>
    <cacheHierarchy uniqueName="[HR_Data].[Salary Band]" caption="Salary Band" attribute="1" defaultMemberUniqueName="[HR_Data].[Salary Band].[All]" allUniqueName="[HR_Data].[Salary Band].[All]" dimensionUniqueName="[HR_Data]" displayFolder="" count="0" memberValueDatatype="130" unbalanced="0"/>
    <cacheHierarchy uniqueName="[HR_Data].[FTE Salary]" caption="FTE Salary" attribute="1" defaultMemberUniqueName="[HR_Data].[FTE Salary].[All]" allUniqueName="[HR_Data].[FTE Salary].[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5" unbalanced="0"/>
    <cacheHierarchy uniqueName="[HR_Data].[Performance]" caption="Performance" attribute="1" defaultMemberUniqueName="[HR_Data].[Performance].[All]" allUniqueName="[HR_Data].[Performance].[All]" dimensionUniqueName="[HR_Data]" displayFolder="" count="2" memberValueDatatype="130" unbalanced="0"/>
    <cacheHierarchy uniqueName="[HR_Data].[Variance]" caption="Variance" attribute="1" defaultMemberUniqueName="[HR_Data].[Variance].[All]" allUniqueName="[HR_Data].[Variance].[All]" dimensionUniqueName="[HR_Data]" displayFolder="" count="0" memberValueDatatype="5" unbalanced="0"/>
    <cacheHierarchy uniqueName="[HR_Data].[Pay Group]" caption="Pay Group" attribute="1" defaultMemberUniqueName="[HR_Data].[Pay Group].[All]" allUniqueName="[HR_Data].[Pay Group].[All]" dimensionUniqueName="[HR_Data]" displayFolder="" count="2" memberValueDatatype="130" unbalanced="0"/>
    <cacheHierarchy uniqueName="[HR_Data].[Age Group]" caption="Age Group" attribute="1" defaultMemberUniqueName="[HR_Data].[Age Group].[All]" allUniqueName="[HR_Data].[Age Group].[All]" dimensionUniqueName="[HR_Data]" displayFolder="" count="2" memberValueDatatype="130" unbalanced="0">
      <fieldsUsage count="2">
        <fieldUsage x="-1"/>
        <fieldUsage x="2"/>
      </fieldsUsage>
    </cacheHierarchy>
    <cacheHierarchy uniqueName="[Measures].[Count of Manager]" caption="Count of Manager" measure="1" displayFolder="" measureGroup="HR_Data" count="0">
      <extLst>
        <ext xmlns:x15="http://schemas.microsoft.com/office/spreadsheetml/2010/11/main" uri="{B97F6D7D-B522-45F9-BDA1-12C45D357490}">
          <x15:cacheHierarchy aggregatedColumn="8"/>
        </ext>
      </extLst>
    </cacheHierarchy>
    <cacheHierarchy uniqueName="[Measures].[Count of Salary Band]" caption="Count of Salary Band" measure="1" displayFolder="" measureGroup="HR_Data" count="0">
      <extLst>
        <ext xmlns:x15="http://schemas.microsoft.com/office/spreadsheetml/2010/11/main" uri="{B97F6D7D-B522-45F9-BDA1-12C45D357490}">
          <x15:cacheHierarchy aggregatedColumn="10"/>
        </ext>
      </extLst>
    </cacheHierarchy>
    <cacheHierarchy uniqueName="[Measures].[Sum of Hours]" caption="Sum of Hours" measure="1" displayFolder="" measureGroup="HR_Data" count="0">
      <extLst>
        <ext xmlns:x15="http://schemas.microsoft.com/office/spreadsheetml/2010/11/main" uri="{B97F6D7D-B522-45F9-BDA1-12C45D357490}">
          <x15:cacheHierarchy aggregatedColumn="9"/>
        </ext>
      </extLst>
    </cacheHierarchy>
    <cacheHierarchy uniqueName="[Measures].[Count of Hours]" caption="Count of Hours" measure="1" displayFolder="" measureGroup="HR_Data" count="0">
      <extLst>
        <ext xmlns:x15="http://schemas.microsoft.com/office/spreadsheetml/2010/11/main" uri="{B97F6D7D-B522-45F9-BDA1-12C45D357490}">
          <x15:cacheHierarchy aggregatedColumn="9"/>
        </ext>
      </extLst>
    </cacheHierarchy>
    <cacheHierarchy uniqueName="[Measures].[Average of Hours]" caption="Average of Hours" measure="1" displayFolder="" measureGroup="HR_Data" count="0">
      <extLst>
        <ext xmlns:x15="http://schemas.microsoft.com/office/spreadsheetml/2010/11/main" uri="{B97F6D7D-B522-45F9-BDA1-12C45D357490}">
          <x15:cacheHierarchy aggregatedColumn="9"/>
        </ext>
      </extLst>
    </cacheHierarchy>
    <cacheHierarchy uniqueName="[Measures].[Sum of ID]" caption="Sum of ID" measure="1" displayFolder="" measureGroup="HR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HR_Data" count="0" oneField="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HR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HR_Data" count="0">
      <extLst>
        <ext xmlns:x15="http://schemas.microsoft.com/office/spreadsheetml/2010/11/main" uri="{B97F6D7D-B522-45F9-BDA1-12C45D357490}">
          <x15:cacheHierarchy aggregatedColumn="1"/>
        </ext>
      </extLst>
    </cacheHierarchy>
    <cacheHierarchy uniqueName="[Measures].[Count Department]" caption="Count Department" measure="1" displayFolder="" measureGroup="HR_Data" count="0"/>
    <cacheHierarchy uniqueName="[Measures].[Count Region]" caption="Count Region" measure="1" displayFolder="" measureGroup="HR_Data" count="0"/>
    <cacheHierarchy uniqueName="[Measures].[Average Salary]" caption="Average Salary" measure="1" displayFolder="" measureGroup="HR_Data" count="0"/>
    <cacheHierarchy uniqueName="[Measures].[Salary (M)]" caption="Salary (M)"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nabarawy" refreshedDate="46139.964639814818" backgroundQuery="1" createdVersion="7" refreshedVersion="7" minRefreshableVersion="3" recordCount="0" supportSubquery="1" supportAdvancedDrill="1" xr:uid="{8CDF55C3-B9BF-41D1-BE06-2E4175486592}">
  <cacheSource type="external" connectionId="2"/>
  <cacheFields count="4">
    <cacheField name="[HR_Data].[Name].[Name]" caption="Name" numFmtId="0" hierarchy="1" level="1">
      <sharedItems count="10">
        <s v="Christopher"/>
        <s v="David"/>
        <s v="Jennifer"/>
        <s v="John"/>
        <s v="Joseph"/>
        <s v="Michael"/>
        <s v="Richard"/>
        <s v="Robert"/>
        <s v="Timothy"/>
        <s v="William"/>
      </sharedItems>
    </cacheField>
    <cacheField name="[HR_Data].[Gender].[Gender]" caption="Gender" numFmtId="0" hierarchy="5" level="1">
      <sharedItems count="2">
        <s v="F"/>
        <s v="M"/>
      </sharedItems>
    </cacheField>
    <cacheField name="[Measures].[Average Salary]" caption="Average Salary" numFmtId="0" hierarchy="28" level="32767"/>
    <cacheField name="[HR_Data].[Region].[Region]" caption="Region" numFmtId="0" hierarchy="6" level="1">
      <sharedItems containsSemiMixedTypes="0" containsNonDate="0" containsString="0"/>
    </cacheField>
  </cacheFields>
  <cacheHierarchies count="32">
    <cacheHierarchy uniqueName="[HR_Data].[ID]" caption="ID" attribute="1" defaultMemberUniqueName="[HR_Data].[ID].[All]" allUniqueName="[HR_Data].[ID].[All]" dimensionUniqueName="[HR_Data]" displayFolder="" count="0" memberValueDatatype="20" unbalanced="0"/>
    <cacheHierarchy uniqueName="[HR_Data].[Name]" caption="Name" attribute="1" defaultMemberUniqueName="[HR_Data].[Name].[All]" allUniqueName="[HR_Data].[Name].[All]" dimensionUniqueName="[HR_Data]" displayFolder="" count="2" memberValueDatatype="130" unbalanced="0">
      <fieldsUsage count="2">
        <fieldUsage x="-1"/>
        <fieldUsage x="0"/>
      </fieldsUsage>
    </cacheHierarchy>
    <cacheHierarchy uniqueName="[HR_Data].[Surname]" caption="Surname" attribute="1" defaultMemberUniqueName="[HR_Data].[Surname].[All]" allUniqueName="[HR_Data].[Surname].[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Tenure]" caption="Tenure" attribute="1" defaultMemberUniqueName="[HR_Data].[Tenure].[All]" allUniqueName="[HR_Data].[Tenure].[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fieldsUsage count="2">
        <fieldUsage x="-1"/>
        <fieldUsage x="1"/>
      </fieldsUsage>
    </cacheHierarchy>
    <cacheHierarchy uniqueName="[HR_Data].[Region]" caption="Region" attribute="1" defaultMemberUniqueName="[HR_Data].[Region].[All]" allUniqueName="[HR_Data].[Region].[All]" dimensionUniqueName="[HR_Data]" displayFolder="" count="2" memberValueDatatype="130" unbalanced="0">
      <fieldsUsage count="2">
        <fieldUsage x="-1"/>
        <fieldUsage x="3"/>
      </fieldsUsage>
    </cacheHierarchy>
    <cacheHierarchy uniqueName="[HR_Data].[Department]" caption="Department" attribute="1" defaultMemberUniqueName="[HR_Data].[Department].[All]" allUniqueName="[HR_Data].[Department].[All]" dimensionUniqueName="[HR_Data]" displayFolder="" count="0" memberValueDatatype="130" unbalanced="0"/>
    <cacheHierarchy uniqueName="[HR_Data].[Manager]" caption="Manager" attribute="1" defaultMemberUniqueName="[HR_Data].[Manager].[All]" allUniqueName="[HR_Data].[Manager].[All]" dimensionUniqueName="[HR_Data]" displayFolder="" count="0" memberValueDatatype="130" unbalanced="0"/>
    <cacheHierarchy uniqueName="[HR_Data].[Hours]" caption="Hours" attribute="1" defaultMemberUniqueName="[HR_Data].[Hours].[All]" allUniqueName="[HR_Data].[Hours].[All]" dimensionUniqueName="[HR_Data]" displayFolder="" count="0" memberValueDatatype="20" unbalanced="0"/>
    <cacheHierarchy uniqueName="[HR_Data].[Salary Band]" caption="Salary Band" attribute="1" defaultMemberUniqueName="[HR_Data].[Salary Band].[All]" allUniqueName="[HR_Data].[Salary Band].[All]" dimensionUniqueName="[HR_Data]" displayFolder="" count="0" memberValueDatatype="130" unbalanced="0"/>
    <cacheHierarchy uniqueName="[HR_Data].[FTE Salary]" caption="FTE Salary" attribute="1" defaultMemberUniqueName="[HR_Data].[FTE Salary].[All]" allUniqueName="[HR_Data].[FTE Salary].[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5" unbalanced="0"/>
    <cacheHierarchy uniqueName="[HR_Data].[Performance]" caption="Performance" attribute="1" defaultMemberUniqueName="[HR_Data].[Performance].[All]" allUniqueName="[HR_Data].[Performance].[All]" dimensionUniqueName="[HR_Data]" displayFolder="" count="2" memberValueDatatype="130" unbalanced="0"/>
    <cacheHierarchy uniqueName="[HR_Data].[Variance]" caption="Variance" attribute="1" defaultMemberUniqueName="[HR_Data].[Variance].[All]" allUniqueName="[HR_Data].[Variance].[All]" dimensionUniqueName="[HR_Data]" displayFolder="" count="0" memberValueDatatype="5" unbalanced="0"/>
    <cacheHierarchy uniqueName="[HR_Data].[Pay Group]" caption="Pay Group" attribute="1" defaultMemberUniqueName="[HR_Data].[Pay Group].[All]" allUniqueName="[HR_Data].[Pay Group].[All]" dimensionUniqueName="[HR_Data]" displayFolder="" count="2" memberValueDatatype="130" unbalanced="0"/>
    <cacheHierarchy uniqueName="[HR_Data].[Age Group]" caption="Age Group" attribute="1" defaultMemberUniqueName="[HR_Data].[Age Group].[All]" allUniqueName="[HR_Data].[Age Group].[All]" dimensionUniqueName="[HR_Data]" displayFolder="" count="2" memberValueDatatype="130" unbalanced="0"/>
    <cacheHierarchy uniqueName="[Measures].[Count of Manager]" caption="Count of Manager" measure="1" displayFolder="" measureGroup="HR_Data" count="0">
      <extLst>
        <ext xmlns:x15="http://schemas.microsoft.com/office/spreadsheetml/2010/11/main" uri="{B97F6D7D-B522-45F9-BDA1-12C45D357490}">
          <x15:cacheHierarchy aggregatedColumn="8"/>
        </ext>
      </extLst>
    </cacheHierarchy>
    <cacheHierarchy uniqueName="[Measures].[Count of Salary Band]" caption="Count of Salary Band" measure="1" displayFolder="" measureGroup="HR_Data" count="0">
      <extLst>
        <ext xmlns:x15="http://schemas.microsoft.com/office/spreadsheetml/2010/11/main" uri="{B97F6D7D-B522-45F9-BDA1-12C45D357490}">
          <x15:cacheHierarchy aggregatedColumn="10"/>
        </ext>
      </extLst>
    </cacheHierarchy>
    <cacheHierarchy uniqueName="[Measures].[Sum of Hours]" caption="Sum of Hours" measure="1" displayFolder="" measureGroup="HR_Data" count="0">
      <extLst>
        <ext xmlns:x15="http://schemas.microsoft.com/office/spreadsheetml/2010/11/main" uri="{B97F6D7D-B522-45F9-BDA1-12C45D357490}">
          <x15:cacheHierarchy aggregatedColumn="9"/>
        </ext>
      </extLst>
    </cacheHierarchy>
    <cacheHierarchy uniqueName="[Measures].[Count of Hours]" caption="Count of Hours" measure="1" displayFolder="" measureGroup="HR_Data" count="0">
      <extLst>
        <ext xmlns:x15="http://schemas.microsoft.com/office/spreadsheetml/2010/11/main" uri="{B97F6D7D-B522-45F9-BDA1-12C45D357490}">
          <x15:cacheHierarchy aggregatedColumn="9"/>
        </ext>
      </extLst>
    </cacheHierarchy>
    <cacheHierarchy uniqueName="[Measures].[Average of Hours]" caption="Average of Hours" measure="1" displayFolder="" measureGroup="HR_Data" count="0">
      <extLst>
        <ext xmlns:x15="http://schemas.microsoft.com/office/spreadsheetml/2010/11/main" uri="{B97F6D7D-B522-45F9-BDA1-12C45D357490}">
          <x15:cacheHierarchy aggregatedColumn="9"/>
        </ext>
      </extLst>
    </cacheHierarchy>
    <cacheHierarchy uniqueName="[Measures].[Sum of ID]" caption="Sum of ID" measure="1" displayFolder="" measureGroup="HR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HR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HR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HR_Data" count="0">
      <extLst>
        <ext xmlns:x15="http://schemas.microsoft.com/office/spreadsheetml/2010/11/main" uri="{B97F6D7D-B522-45F9-BDA1-12C45D357490}">
          <x15:cacheHierarchy aggregatedColumn="1"/>
        </ext>
      </extLst>
    </cacheHierarchy>
    <cacheHierarchy uniqueName="[Measures].[Count Department]" caption="Count Department" measure="1" displayFolder="" measureGroup="HR_Data" count="0"/>
    <cacheHierarchy uniqueName="[Measures].[Count Region]" caption="Count Region" measure="1" displayFolder="" measureGroup="HR_Data" count="0"/>
    <cacheHierarchy uniqueName="[Measures].[Average Salary]" caption="Average Salary" measure="1" displayFolder="" measureGroup="HR_Data" count="0" oneField="1">
      <fieldsUsage count="1">
        <fieldUsage x="2"/>
      </fieldsUsage>
    </cacheHierarchy>
    <cacheHierarchy uniqueName="[Measures].[Salary (M)]" caption="Salary (M)"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nabarawy" refreshedDate="46139.964640393518" backgroundQuery="1" createdVersion="7" refreshedVersion="7" minRefreshableVersion="3" recordCount="0" supportSubquery="1" supportAdvancedDrill="1" xr:uid="{2CD577AD-3E92-4F9D-9546-EF693592F530}">
  <cacheSource type="external" connectionId="2"/>
  <cacheFields count="4">
    <cacheField name="[HR_Data].[Name].[Name]" caption="Name" numFmtId="0" hierarchy="1" level="1">
      <sharedItems count="10">
        <s v="Christopher"/>
        <s v="David"/>
        <s v="Jennifer"/>
        <s v="John"/>
        <s v="Joseph"/>
        <s v="Michael"/>
        <s v="Richard"/>
        <s v="Robert"/>
        <s v="Timothy"/>
        <s v="William"/>
      </sharedItems>
    </cacheField>
    <cacheField name="[HR_Data].[Performance].[Performance]" caption="Performance" numFmtId="0" hierarchy="13" level="1">
      <sharedItems count="3">
        <s v="average"/>
        <s v="bottom"/>
        <s v="top"/>
      </sharedItems>
    </cacheField>
    <cacheField name="[Measures].[Salary (M)]" caption="Salary (M)" numFmtId="0" hierarchy="29" level="32767"/>
    <cacheField name="[HR_Data].[Region].[Region]" caption="Region" numFmtId="0" hierarchy="6" level="1">
      <sharedItems containsSemiMixedTypes="0" containsNonDate="0" containsString="0"/>
    </cacheField>
  </cacheFields>
  <cacheHierarchies count="32">
    <cacheHierarchy uniqueName="[HR_Data].[ID]" caption="ID" attribute="1" defaultMemberUniqueName="[HR_Data].[ID].[All]" allUniqueName="[HR_Data].[ID].[All]" dimensionUniqueName="[HR_Data]" displayFolder="" count="0" memberValueDatatype="20" unbalanced="0"/>
    <cacheHierarchy uniqueName="[HR_Data].[Name]" caption="Name" attribute="1" defaultMemberUniqueName="[HR_Data].[Name].[All]" allUniqueName="[HR_Data].[Name].[All]" dimensionUniqueName="[HR_Data]" displayFolder="" count="2" memberValueDatatype="130" unbalanced="0">
      <fieldsUsage count="2">
        <fieldUsage x="-1"/>
        <fieldUsage x="0"/>
      </fieldsUsage>
    </cacheHierarchy>
    <cacheHierarchy uniqueName="[HR_Data].[Surname]" caption="Surname" attribute="1" defaultMemberUniqueName="[HR_Data].[Surname].[All]" allUniqueName="[HR_Data].[Surname].[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Tenure]" caption="Tenure" attribute="1" defaultMemberUniqueName="[HR_Data].[Tenure].[All]" allUniqueName="[HR_Data].[Tenure].[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Region]" caption="Region" attribute="1" defaultMemberUniqueName="[HR_Data].[Region].[All]" allUniqueName="[HR_Data].[Region].[All]" dimensionUniqueName="[HR_Data]" displayFolder="" count="2" memberValueDatatype="130" unbalanced="0">
      <fieldsUsage count="2">
        <fieldUsage x="-1"/>
        <fieldUsage x="3"/>
      </fieldsUsage>
    </cacheHierarchy>
    <cacheHierarchy uniqueName="[HR_Data].[Department]" caption="Department" attribute="1" defaultMemberUniqueName="[HR_Data].[Department].[All]" allUniqueName="[HR_Data].[Department].[All]" dimensionUniqueName="[HR_Data]" displayFolder="" count="0" memberValueDatatype="130" unbalanced="0"/>
    <cacheHierarchy uniqueName="[HR_Data].[Manager]" caption="Manager" attribute="1" defaultMemberUniqueName="[HR_Data].[Manager].[All]" allUniqueName="[HR_Data].[Manager].[All]" dimensionUniqueName="[HR_Data]" displayFolder="" count="0" memberValueDatatype="130" unbalanced="0"/>
    <cacheHierarchy uniqueName="[HR_Data].[Hours]" caption="Hours" attribute="1" defaultMemberUniqueName="[HR_Data].[Hours].[All]" allUniqueName="[HR_Data].[Hours].[All]" dimensionUniqueName="[HR_Data]" displayFolder="" count="0" memberValueDatatype="20" unbalanced="0"/>
    <cacheHierarchy uniqueName="[HR_Data].[Salary Band]" caption="Salary Band" attribute="1" defaultMemberUniqueName="[HR_Data].[Salary Band].[All]" allUniqueName="[HR_Data].[Salary Band].[All]" dimensionUniqueName="[HR_Data]" displayFolder="" count="0" memberValueDatatype="130" unbalanced="0"/>
    <cacheHierarchy uniqueName="[HR_Data].[FTE Salary]" caption="FTE Salary" attribute="1" defaultMemberUniqueName="[HR_Data].[FTE Salary].[All]" allUniqueName="[HR_Data].[FTE Salary].[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5" unbalanced="0"/>
    <cacheHierarchy uniqueName="[HR_Data].[Performance]" caption="Performance" attribute="1" defaultMemberUniqueName="[HR_Data].[Performance].[All]" allUniqueName="[HR_Data].[Performance].[All]" dimensionUniqueName="[HR_Data]" displayFolder="" count="2" memberValueDatatype="130" unbalanced="0">
      <fieldsUsage count="2">
        <fieldUsage x="-1"/>
        <fieldUsage x="1"/>
      </fieldsUsage>
    </cacheHierarchy>
    <cacheHierarchy uniqueName="[HR_Data].[Variance]" caption="Variance" attribute="1" defaultMemberUniqueName="[HR_Data].[Variance].[All]" allUniqueName="[HR_Data].[Variance].[All]" dimensionUniqueName="[HR_Data]" displayFolder="" count="0" memberValueDatatype="5" unbalanced="0"/>
    <cacheHierarchy uniqueName="[HR_Data].[Pay Group]" caption="Pay Group" attribute="1" defaultMemberUniqueName="[HR_Data].[Pay Group].[All]" allUniqueName="[HR_Data].[Pay Group].[All]" dimensionUniqueName="[HR_Data]" displayFolder="" count="2" memberValueDatatype="130" unbalanced="0"/>
    <cacheHierarchy uniqueName="[HR_Data].[Age Group]" caption="Age Group" attribute="1" defaultMemberUniqueName="[HR_Data].[Age Group].[All]" allUniqueName="[HR_Data].[Age Group].[All]" dimensionUniqueName="[HR_Data]" displayFolder="" count="2" memberValueDatatype="130" unbalanced="0"/>
    <cacheHierarchy uniqueName="[Measures].[Count of Manager]" caption="Count of Manager" measure="1" displayFolder="" measureGroup="HR_Data" count="0">
      <extLst>
        <ext xmlns:x15="http://schemas.microsoft.com/office/spreadsheetml/2010/11/main" uri="{B97F6D7D-B522-45F9-BDA1-12C45D357490}">
          <x15:cacheHierarchy aggregatedColumn="8"/>
        </ext>
      </extLst>
    </cacheHierarchy>
    <cacheHierarchy uniqueName="[Measures].[Count of Salary Band]" caption="Count of Salary Band" measure="1" displayFolder="" measureGroup="HR_Data" count="0">
      <extLst>
        <ext xmlns:x15="http://schemas.microsoft.com/office/spreadsheetml/2010/11/main" uri="{B97F6D7D-B522-45F9-BDA1-12C45D357490}">
          <x15:cacheHierarchy aggregatedColumn="10"/>
        </ext>
      </extLst>
    </cacheHierarchy>
    <cacheHierarchy uniqueName="[Measures].[Sum of Hours]" caption="Sum of Hours" measure="1" displayFolder="" measureGroup="HR_Data" count="0">
      <extLst>
        <ext xmlns:x15="http://schemas.microsoft.com/office/spreadsheetml/2010/11/main" uri="{B97F6D7D-B522-45F9-BDA1-12C45D357490}">
          <x15:cacheHierarchy aggregatedColumn="9"/>
        </ext>
      </extLst>
    </cacheHierarchy>
    <cacheHierarchy uniqueName="[Measures].[Count of Hours]" caption="Count of Hours" measure="1" displayFolder="" measureGroup="HR_Data" count="0">
      <extLst>
        <ext xmlns:x15="http://schemas.microsoft.com/office/spreadsheetml/2010/11/main" uri="{B97F6D7D-B522-45F9-BDA1-12C45D357490}">
          <x15:cacheHierarchy aggregatedColumn="9"/>
        </ext>
      </extLst>
    </cacheHierarchy>
    <cacheHierarchy uniqueName="[Measures].[Average of Hours]" caption="Average of Hours" measure="1" displayFolder="" measureGroup="HR_Data" count="0">
      <extLst>
        <ext xmlns:x15="http://schemas.microsoft.com/office/spreadsheetml/2010/11/main" uri="{B97F6D7D-B522-45F9-BDA1-12C45D357490}">
          <x15:cacheHierarchy aggregatedColumn="9"/>
        </ext>
      </extLst>
    </cacheHierarchy>
    <cacheHierarchy uniqueName="[Measures].[Sum of ID]" caption="Sum of ID" measure="1" displayFolder="" measureGroup="HR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HR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HR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HR_Data" count="0">
      <extLst>
        <ext xmlns:x15="http://schemas.microsoft.com/office/spreadsheetml/2010/11/main" uri="{B97F6D7D-B522-45F9-BDA1-12C45D357490}">
          <x15:cacheHierarchy aggregatedColumn="1"/>
        </ext>
      </extLst>
    </cacheHierarchy>
    <cacheHierarchy uniqueName="[Measures].[Count Department]" caption="Count Department" measure="1" displayFolder="" measureGroup="HR_Data" count="0"/>
    <cacheHierarchy uniqueName="[Measures].[Count Region]" caption="Count Region" measure="1" displayFolder="" measureGroup="HR_Data" count="0"/>
    <cacheHierarchy uniqueName="[Measures].[Average Salary]" caption="Average Salary" measure="1" displayFolder="" measureGroup="HR_Data" count="0"/>
    <cacheHierarchy uniqueName="[Measures].[Salary (M)]" caption="Salary (M)" measure="1" displayFolder="" measureGroup="HR_Data" count="0" oneField="1">
      <fieldsUsage count="1">
        <fieldUsage x="2"/>
      </fieldsUsage>
    </cacheHierarchy>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nabarawy" refreshedDate="46139.964640972219" backgroundQuery="1" createdVersion="7" refreshedVersion="7" minRefreshableVersion="3" recordCount="0" supportSubquery="1" supportAdvancedDrill="1" xr:uid="{9AB5DA6F-0EED-4BCA-BE1A-2E70395968B9}">
  <cacheSource type="external" connectionId="2"/>
  <cacheFields count="5">
    <cacheField name="[Measures].[Count Department]" caption="Count Department" numFmtId="0" hierarchy="26" level="32767"/>
    <cacheField name="[Measures].[Average of Hours]" caption="Average of Hours" numFmtId="0" hierarchy="21" level="32767"/>
    <cacheField name="[Measures].[Count Region]" caption="Count Region" numFmtId="0" hierarchy="27" level="32767"/>
    <cacheField name="[Measures].[Average Salary]" caption="Average Salary" numFmtId="0" hierarchy="28" level="32767"/>
    <cacheField name="[HR_Data].[Region].[Region]" caption="Region" numFmtId="0" hierarchy="6" level="1">
      <sharedItems containsSemiMixedTypes="0" containsNonDate="0" containsString="0"/>
    </cacheField>
  </cacheFields>
  <cacheHierarchies count="32">
    <cacheHierarchy uniqueName="[HR_Data].[ID]" caption="ID" attribute="1" defaultMemberUniqueName="[HR_Data].[ID].[All]" allUniqueName="[HR_Data].[ID].[All]" dimensionUniqueName="[HR_Data]" displayFolder="" count="0" memberValueDatatype="20" unbalanced="0"/>
    <cacheHierarchy uniqueName="[HR_Data].[Name]" caption="Name" attribute="1" defaultMemberUniqueName="[HR_Data].[Name].[All]" allUniqueName="[HR_Data].[Name].[All]" dimensionUniqueName="[HR_Data]" displayFolder="" count="0" memberValueDatatype="130" unbalanced="0"/>
    <cacheHierarchy uniqueName="[HR_Data].[Surname]" caption="Surname" attribute="1" defaultMemberUniqueName="[HR_Data].[Surname].[All]" allUniqueName="[HR_Data].[Surname].[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Tenure]" caption="Tenure" attribute="1" defaultMemberUniqueName="[HR_Data].[Tenure].[All]" allUniqueName="[HR_Data].[Tenure].[All]" dimensionUniqueName="[HR_Data]" displayFolder="" count="0" memberValueDatatype="20" unbalanced="0"/>
    <cacheHierarchy uniqueName="[HR_Data].[Gender]" caption="Gender" attribute="1" defaultMemberUniqueName="[HR_Data].[Gender].[All]" allUniqueName="[HR_Data].[Gender].[All]" dimensionUniqueName="[HR_Data]" displayFolder="" count="0" memberValueDatatype="130" unbalanced="0"/>
    <cacheHierarchy uniqueName="[HR_Data].[Region]" caption="Region" attribute="1" defaultMemberUniqueName="[HR_Data].[Region].[All]" allUniqueName="[HR_Data].[Region].[All]" dimensionUniqueName="[HR_Data]" displayFolder="" count="2" memberValueDatatype="130" unbalanced="0">
      <fieldsUsage count="2">
        <fieldUsage x="-1"/>
        <fieldUsage x="4"/>
      </fieldsUsage>
    </cacheHierarchy>
    <cacheHierarchy uniqueName="[HR_Data].[Department]" caption="Department" attribute="1" defaultMemberUniqueName="[HR_Data].[Department].[All]" allUniqueName="[HR_Data].[Department].[All]" dimensionUniqueName="[HR_Data]" displayFolder="" count="0" memberValueDatatype="130" unbalanced="0"/>
    <cacheHierarchy uniqueName="[HR_Data].[Manager]" caption="Manager" attribute="1" defaultMemberUniqueName="[HR_Data].[Manager].[All]" allUniqueName="[HR_Data].[Manager].[All]" dimensionUniqueName="[HR_Data]" displayFolder="" count="0" memberValueDatatype="130" unbalanced="0"/>
    <cacheHierarchy uniqueName="[HR_Data].[Hours]" caption="Hours" attribute="1" defaultMemberUniqueName="[HR_Data].[Hours].[All]" allUniqueName="[HR_Data].[Hours].[All]" dimensionUniqueName="[HR_Data]" displayFolder="" count="0" memberValueDatatype="20" unbalanced="0"/>
    <cacheHierarchy uniqueName="[HR_Data].[Salary Band]" caption="Salary Band" attribute="1" defaultMemberUniqueName="[HR_Data].[Salary Band].[All]" allUniqueName="[HR_Data].[Salary Band].[All]" dimensionUniqueName="[HR_Data]" displayFolder="" count="0" memberValueDatatype="130" unbalanced="0"/>
    <cacheHierarchy uniqueName="[HR_Data].[FTE Salary]" caption="FTE Salary" attribute="1" defaultMemberUniqueName="[HR_Data].[FTE Salary].[All]" allUniqueName="[HR_Data].[FTE Salary].[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5" unbalanced="0"/>
    <cacheHierarchy uniqueName="[HR_Data].[Performance]" caption="Performance" attribute="1" defaultMemberUniqueName="[HR_Data].[Performance].[All]" allUniqueName="[HR_Data].[Performance].[All]" dimensionUniqueName="[HR_Data]" displayFolder="" count="0" memberValueDatatype="130" unbalanced="0"/>
    <cacheHierarchy uniqueName="[HR_Data].[Variance]" caption="Variance" attribute="1" defaultMemberUniqueName="[HR_Data].[Variance].[All]" allUniqueName="[HR_Data].[Variance].[All]" dimensionUniqueName="[HR_Data]" displayFolder="" count="0" memberValueDatatype="5" unbalanced="0"/>
    <cacheHierarchy uniqueName="[HR_Data].[Pay Group]" caption="Pay Group" attribute="1" defaultMemberUniqueName="[HR_Data].[Pay Group].[All]" allUniqueName="[HR_Data].[Pay Group].[All]" dimensionUniqueName="[HR_Data]" displayFolder="" count="2" memberValueDatatype="130" unbalanced="0"/>
    <cacheHierarchy uniqueName="[HR_Data].[Age Group]" caption="Age Group" attribute="1" defaultMemberUniqueName="[HR_Data].[Age Group].[All]" allUniqueName="[HR_Data].[Age Group].[All]" dimensionUniqueName="[HR_Data]" displayFolder="" count="0" memberValueDatatype="130" unbalanced="0"/>
    <cacheHierarchy uniqueName="[Measures].[Count of Manager]" caption="Count of Manager" measure="1" displayFolder="" measureGroup="HR_Data" count="0">
      <extLst>
        <ext xmlns:x15="http://schemas.microsoft.com/office/spreadsheetml/2010/11/main" uri="{B97F6D7D-B522-45F9-BDA1-12C45D357490}">
          <x15:cacheHierarchy aggregatedColumn="8"/>
        </ext>
      </extLst>
    </cacheHierarchy>
    <cacheHierarchy uniqueName="[Measures].[Count of Salary Band]" caption="Count of Salary Band" measure="1" displayFolder="" measureGroup="HR_Data" count="0">
      <extLst>
        <ext xmlns:x15="http://schemas.microsoft.com/office/spreadsheetml/2010/11/main" uri="{B97F6D7D-B522-45F9-BDA1-12C45D357490}">
          <x15:cacheHierarchy aggregatedColumn="10"/>
        </ext>
      </extLst>
    </cacheHierarchy>
    <cacheHierarchy uniqueName="[Measures].[Sum of Hours]" caption="Sum of Hours" measure="1" displayFolder="" measureGroup="HR_Data" count="0">
      <extLst>
        <ext xmlns:x15="http://schemas.microsoft.com/office/spreadsheetml/2010/11/main" uri="{B97F6D7D-B522-45F9-BDA1-12C45D357490}">
          <x15:cacheHierarchy aggregatedColumn="9"/>
        </ext>
      </extLst>
    </cacheHierarchy>
    <cacheHierarchy uniqueName="[Measures].[Count of Hours]" caption="Count of Hours" measure="1" displayFolder="" measureGroup="HR_Data" count="0">
      <extLst>
        <ext xmlns:x15="http://schemas.microsoft.com/office/spreadsheetml/2010/11/main" uri="{B97F6D7D-B522-45F9-BDA1-12C45D357490}">
          <x15:cacheHierarchy aggregatedColumn="9"/>
        </ext>
      </extLst>
    </cacheHierarchy>
    <cacheHierarchy uniqueName="[Measures].[Average of Hours]" caption="Average of Hours" measure="1" displayFolder="" measureGroup="HR_Data" count="0" oneField="1">
      <fieldsUsage count="1">
        <fieldUsage x="1"/>
      </fieldsUsage>
      <extLst>
        <ext xmlns:x15="http://schemas.microsoft.com/office/spreadsheetml/2010/11/main" uri="{B97F6D7D-B522-45F9-BDA1-12C45D357490}">
          <x15:cacheHierarchy aggregatedColumn="9"/>
        </ext>
      </extLst>
    </cacheHierarchy>
    <cacheHierarchy uniqueName="[Measures].[Sum of ID]" caption="Sum of ID" measure="1" displayFolder="" measureGroup="HR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HR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HR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HR_Data" count="0">
      <extLst>
        <ext xmlns:x15="http://schemas.microsoft.com/office/spreadsheetml/2010/11/main" uri="{B97F6D7D-B522-45F9-BDA1-12C45D357490}">
          <x15:cacheHierarchy aggregatedColumn="1"/>
        </ext>
      </extLst>
    </cacheHierarchy>
    <cacheHierarchy uniqueName="[Measures].[Count Department]" caption="Count Department" measure="1" displayFolder="" measureGroup="HR_Data" count="0" oneField="1">
      <fieldsUsage count="1">
        <fieldUsage x="0"/>
      </fieldsUsage>
    </cacheHierarchy>
    <cacheHierarchy uniqueName="[Measures].[Count Region]" caption="Count Region" measure="1" displayFolder="" measureGroup="HR_Data" count="0" oneField="1">
      <fieldsUsage count="1">
        <fieldUsage x="2"/>
      </fieldsUsage>
    </cacheHierarchy>
    <cacheHierarchy uniqueName="[Measures].[Average Salary]" caption="Average Salary" measure="1" displayFolder="" measureGroup="HR_Data" count="0" oneField="1">
      <fieldsUsage count="1">
        <fieldUsage x="3"/>
      </fieldsUsage>
    </cacheHierarchy>
    <cacheHierarchy uniqueName="[Measures].[Salary (M)]" caption="Salary (M)"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Elnabarawy" refreshedDate="46139.962253587961" backgroundQuery="1" createdVersion="3" refreshedVersion="7" minRefreshableVersion="3" recordCount="0" supportSubquery="1" supportAdvancedDrill="1" xr:uid="{63DA1DEC-2718-48AF-A6A4-722A842E3465}">
  <cacheSource type="external" connectionId="2">
    <extLst>
      <ext xmlns:x14="http://schemas.microsoft.com/office/spreadsheetml/2009/9/main" uri="{F057638F-6D5F-4e77-A914-E7F072B9BCA8}">
        <x14:sourceConnection name="ThisWorkbookDataModel"/>
      </ext>
    </extLst>
  </cacheSource>
  <cacheFields count="0"/>
  <cacheHierarchies count="32">
    <cacheHierarchy uniqueName="[HR_Data].[ID]" caption="ID" attribute="1" defaultMemberUniqueName="[HR_Data].[ID].[All]" allUniqueName="[HR_Data].[ID].[All]" dimensionUniqueName="[HR_Data]" displayFolder="" count="0" memberValueDatatype="20" unbalanced="0"/>
    <cacheHierarchy uniqueName="[HR_Data].[Name]" caption="Name" attribute="1" defaultMemberUniqueName="[HR_Data].[Name].[All]" allUniqueName="[HR_Data].[Name].[All]" dimensionUniqueName="[HR_Data]" displayFolder="" count="0" memberValueDatatype="130" unbalanced="0"/>
    <cacheHierarchy uniqueName="[HR_Data].[Surname]" caption="Surname" attribute="1" defaultMemberUniqueName="[HR_Data].[Surname].[All]" allUniqueName="[HR_Data].[Surname].[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Tenure]" caption="Tenure" attribute="1" defaultMemberUniqueName="[HR_Data].[Tenure].[All]" allUniqueName="[HR_Data].[Tenure].[All]" dimensionUniqueName="[HR_Data]" displayFolder="" count="0" memberValueDatatype="20" unbalanced="0"/>
    <cacheHierarchy uniqueName="[HR_Data].[Gender]" caption="Gender" attribute="1" defaultMemberUniqueName="[HR_Data].[Gender].[All]" allUniqueName="[HR_Data].[Gender].[All]" dimensionUniqueName="[HR_Data]" displayFolder="" count="0" memberValueDatatype="130" unbalanced="0"/>
    <cacheHierarchy uniqueName="[HR_Data].[Region]" caption="Region" attribute="1" defaultMemberUniqueName="[HR_Data].[Region].[All]" allUniqueName="[HR_Data].[Region].[All]" dimensionUniqueName="[HR_Data]" displayFolder="" count="2" memberValueDatatype="130" unbalanced="0"/>
    <cacheHierarchy uniqueName="[HR_Data].[Department]" caption="Department" attribute="1" defaultMemberUniqueName="[HR_Data].[Department].[All]" allUniqueName="[HR_Data].[Department].[All]" dimensionUniqueName="[HR_Data]" displayFolder="" count="0" memberValueDatatype="130" unbalanced="0"/>
    <cacheHierarchy uniqueName="[HR_Data].[Manager]" caption="Manager" attribute="1" defaultMemberUniqueName="[HR_Data].[Manager].[All]" allUniqueName="[HR_Data].[Manager].[All]" dimensionUniqueName="[HR_Data]" displayFolder="" count="0" memberValueDatatype="130" unbalanced="0"/>
    <cacheHierarchy uniqueName="[HR_Data].[Hours]" caption="Hours" attribute="1" defaultMemberUniqueName="[HR_Data].[Hours].[All]" allUniqueName="[HR_Data].[Hours].[All]" dimensionUniqueName="[HR_Data]" displayFolder="" count="0" memberValueDatatype="20" unbalanced="0"/>
    <cacheHierarchy uniqueName="[HR_Data].[Salary Band]" caption="Salary Band" attribute="1" defaultMemberUniqueName="[HR_Data].[Salary Band].[All]" allUniqueName="[HR_Data].[Salary Band].[All]" dimensionUniqueName="[HR_Data]" displayFolder="" count="0" memberValueDatatype="130" unbalanced="0"/>
    <cacheHierarchy uniqueName="[HR_Data].[FTE Salary]" caption="FTE Salary" attribute="1" defaultMemberUniqueName="[HR_Data].[FTE Salary].[All]" allUniqueName="[HR_Data].[FTE Salary].[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5" unbalanced="0"/>
    <cacheHierarchy uniqueName="[HR_Data].[Performance]" caption="Performance" attribute="1" defaultMemberUniqueName="[HR_Data].[Performance].[All]" allUniqueName="[HR_Data].[Performance].[All]" dimensionUniqueName="[HR_Data]" displayFolder="" count="0" memberValueDatatype="130" unbalanced="0"/>
    <cacheHierarchy uniqueName="[HR_Data].[Variance]" caption="Variance" attribute="1" defaultMemberUniqueName="[HR_Data].[Variance].[All]" allUniqueName="[HR_Data].[Variance].[All]" dimensionUniqueName="[HR_Data]" displayFolder="" count="0" memberValueDatatype="5" unbalanced="0"/>
    <cacheHierarchy uniqueName="[HR_Data].[Pay Group]" caption="Pay Group" attribute="1" defaultMemberUniqueName="[HR_Data].[Pay Group].[All]" allUniqueName="[HR_Data].[Pay Group].[All]" dimensionUniqueName="[HR_Data]" displayFolder="" count="2" memberValueDatatype="130" unbalanced="0"/>
    <cacheHierarchy uniqueName="[HR_Data].[Age Group]" caption="Age Group" attribute="1" defaultMemberUniqueName="[HR_Data].[Age Group].[All]" allUniqueName="[HR_Data].[Age Group].[All]" dimensionUniqueName="[HR_Data]" displayFolder="" count="0" memberValueDatatype="130" unbalanced="0"/>
    <cacheHierarchy uniqueName="[Measures].[Count of Manager]" caption="Count of Manager" measure="1" displayFolder="" measureGroup="HR_Data" count="0">
      <extLst>
        <ext xmlns:x15="http://schemas.microsoft.com/office/spreadsheetml/2010/11/main" uri="{B97F6D7D-B522-45F9-BDA1-12C45D357490}">
          <x15:cacheHierarchy aggregatedColumn="8"/>
        </ext>
      </extLst>
    </cacheHierarchy>
    <cacheHierarchy uniqueName="[Measures].[Count of Salary Band]" caption="Count of Salary Band" measure="1" displayFolder="" measureGroup="HR_Data" count="0">
      <extLst>
        <ext xmlns:x15="http://schemas.microsoft.com/office/spreadsheetml/2010/11/main" uri="{B97F6D7D-B522-45F9-BDA1-12C45D357490}">
          <x15:cacheHierarchy aggregatedColumn="10"/>
        </ext>
      </extLst>
    </cacheHierarchy>
    <cacheHierarchy uniqueName="[Measures].[Sum of Hours]" caption="Sum of Hours" measure="1" displayFolder="" measureGroup="HR_Data" count="0">
      <extLst>
        <ext xmlns:x15="http://schemas.microsoft.com/office/spreadsheetml/2010/11/main" uri="{B97F6D7D-B522-45F9-BDA1-12C45D357490}">
          <x15:cacheHierarchy aggregatedColumn="9"/>
        </ext>
      </extLst>
    </cacheHierarchy>
    <cacheHierarchy uniqueName="[Measures].[Count of Hours]" caption="Count of Hours" measure="1" displayFolder="" measureGroup="HR_Data" count="0">
      <extLst>
        <ext xmlns:x15="http://schemas.microsoft.com/office/spreadsheetml/2010/11/main" uri="{B97F6D7D-B522-45F9-BDA1-12C45D357490}">
          <x15:cacheHierarchy aggregatedColumn="9"/>
        </ext>
      </extLst>
    </cacheHierarchy>
    <cacheHierarchy uniqueName="[Measures].[Average of Hours]" caption="Average of Hours" measure="1" displayFolder="" measureGroup="HR_Data" count="0">
      <extLst>
        <ext xmlns:x15="http://schemas.microsoft.com/office/spreadsheetml/2010/11/main" uri="{B97F6D7D-B522-45F9-BDA1-12C45D357490}">
          <x15:cacheHierarchy aggregatedColumn="9"/>
        </ext>
      </extLst>
    </cacheHierarchy>
    <cacheHierarchy uniqueName="[Measures].[Sum of ID]" caption="Sum of ID" measure="1" displayFolder="" measureGroup="HR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HR_Data" count="0">
      <extLst>
        <ext xmlns:x15="http://schemas.microsoft.com/office/spreadsheetml/2010/11/main" uri="{B97F6D7D-B522-45F9-BDA1-12C45D357490}">
          <x15:cacheHierarchy aggregatedColumn="0"/>
        </ext>
      </extLst>
    </cacheHierarchy>
    <cacheHierarchy uniqueName="[Measures].[Sum of Salary]" caption="Sum of Salary" measure="1" displayFolder="" measureGroup="HR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HR_Data" count="0">
      <extLst>
        <ext xmlns:x15="http://schemas.microsoft.com/office/spreadsheetml/2010/11/main" uri="{B97F6D7D-B522-45F9-BDA1-12C45D357490}">
          <x15:cacheHierarchy aggregatedColumn="1"/>
        </ext>
      </extLst>
    </cacheHierarchy>
    <cacheHierarchy uniqueName="[Measures].[Count Department]" caption="Count Department" measure="1" displayFolder="" measureGroup="HR_Data" count="0"/>
    <cacheHierarchy uniqueName="[Measures].[Count Region]" caption="Count Region" measure="1" displayFolder="" measureGroup="HR_Data" count="0"/>
    <cacheHierarchy uniqueName="[Measures].[Average Salary]" caption="Average Salary" measure="1" displayFolder="" measureGroup="HR_Data" count="0"/>
    <cacheHierarchy uniqueName="[Measures].[Salary (M)]" caption="Salary (M)"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527857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5">
  <r>
    <n v="21639"/>
    <s v="Susan"/>
    <s v="Gomez"/>
    <n v="32"/>
    <n v="2"/>
    <x v="0"/>
    <x v="0"/>
    <x v="0"/>
    <s v="no"/>
    <n v="20"/>
    <s v="T4"/>
    <n v="118086"/>
    <n v="59043"/>
    <x v="0"/>
    <n v="59043"/>
    <x v="0"/>
    <x v="0"/>
  </r>
  <r>
    <n v="4335"/>
    <s v="Matthew"/>
    <s v="Jones"/>
    <n v="62"/>
    <n v="22"/>
    <x v="1"/>
    <x v="1"/>
    <x v="1"/>
    <s v="no"/>
    <n v="40"/>
    <s v="T3"/>
    <n v="109666"/>
    <n v="109666"/>
    <x v="1"/>
    <n v="0"/>
    <x v="1"/>
    <x v="1"/>
  </r>
  <r>
    <n v="1506"/>
    <s v="Nancy"/>
    <s v="Arias"/>
    <n v="42"/>
    <n v="2"/>
    <x v="0"/>
    <x v="0"/>
    <x v="1"/>
    <s v="no"/>
    <n v="40"/>
    <s v="T3"/>
    <n v="106311"/>
    <n v="106311"/>
    <x v="2"/>
    <n v="0"/>
    <x v="1"/>
    <x v="2"/>
  </r>
  <r>
    <n v="9699"/>
    <s v="Benjamin"/>
    <s v="Williams"/>
    <n v="34"/>
    <n v="5"/>
    <x v="1"/>
    <x v="1"/>
    <x v="2"/>
    <s v="no"/>
    <n v="40"/>
    <s v="T3"/>
    <n v="122000"/>
    <n v="122000"/>
    <x v="1"/>
    <n v="0"/>
    <x v="1"/>
    <x v="0"/>
  </r>
  <r>
    <n v="8711"/>
    <s v="Melissa"/>
    <s v="Nicholson"/>
    <n v="32"/>
    <n v="7"/>
    <x v="0"/>
    <x v="2"/>
    <x v="3"/>
    <s v="no"/>
    <n v="20"/>
    <s v="T2"/>
    <n v="85000"/>
    <n v="42500"/>
    <x v="2"/>
    <n v="42500"/>
    <x v="0"/>
    <x v="0"/>
  </r>
  <r>
    <n v="8001"/>
    <s v="Sarah"/>
    <s v="Jennings"/>
    <n v="38"/>
    <n v="20"/>
    <x v="0"/>
    <x v="1"/>
    <x v="1"/>
    <s v="no"/>
    <n v="40"/>
    <s v="T3"/>
    <n v="98744"/>
    <n v="98744"/>
    <x v="2"/>
    <n v="0"/>
    <x v="1"/>
    <x v="3"/>
  </r>
  <r>
    <n v="5259"/>
    <s v="Nathan"/>
    <s v="Marshall"/>
    <n v="26"/>
    <n v="0"/>
    <x v="1"/>
    <x v="0"/>
    <x v="2"/>
    <s v="no"/>
    <n v="20"/>
    <s v="T1"/>
    <n v="78825"/>
    <n v="39412.5"/>
    <x v="0"/>
    <n v="39412.5"/>
    <x v="0"/>
    <x v="4"/>
  </r>
  <r>
    <n v="4045"/>
    <s v="Gwendolyn"/>
    <s v="Turner"/>
    <n v="38"/>
    <n v="8"/>
    <x v="0"/>
    <x v="3"/>
    <x v="2"/>
    <s v="no"/>
    <n v="8"/>
    <s v="T1"/>
    <n v="68000"/>
    <n v="13600"/>
    <x v="2"/>
    <n v="54400"/>
    <x v="0"/>
    <x v="3"/>
  </r>
  <r>
    <n v="18557"/>
    <s v="Richard"/>
    <s v="Hayes"/>
    <n v="23"/>
    <n v="2"/>
    <x v="1"/>
    <x v="1"/>
    <x v="2"/>
    <s v="no"/>
    <n v="40"/>
    <s v="T3"/>
    <n v="122000"/>
    <n v="122000"/>
    <x v="1"/>
    <n v="0"/>
    <x v="1"/>
    <x v="5"/>
  </r>
  <r>
    <n v="3535"/>
    <s v="Jesus"/>
    <s v="Roberts"/>
    <n v="56"/>
    <n v="36"/>
    <x v="1"/>
    <x v="4"/>
    <x v="1"/>
    <s v="yes"/>
    <n v="32"/>
    <s v="T5"/>
    <n v="152991"/>
    <n v="122392.8"/>
    <x v="1"/>
    <n v="30598.199999999997"/>
    <x v="0"/>
    <x v="1"/>
  </r>
  <r>
    <n v="20036"/>
    <s v="Irma"/>
    <s v="Hinojosa"/>
    <n v="59"/>
    <n v="28"/>
    <x v="0"/>
    <x v="2"/>
    <x v="3"/>
    <s v="no"/>
    <n v="40"/>
    <s v="T2"/>
    <n v="95702"/>
    <n v="95702"/>
    <x v="2"/>
    <n v="0"/>
    <x v="1"/>
    <x v="1"/>
  </r>
  <r>
    <n v="14512"/>
    <s v="Dawn"/>
    <s v="Lee"/>
    <n v="31"/>
    <n v="7"/>
    <x v="0"/>
    <x v="3"/>
    <x v="1"/>
    <s v="no"/>
    <n v="32"/>
    <s v="T4"/>
    <n v="115000"/>
    <n v="92000"/>
    <x v="0"/>
    <n v="23000"/>
    <x v="0"/>
    <x v="0"/>
  </r>
  <r>
    <n v="1728"/>
    <s v="Whitney"/>
    <s v="Williams"/>
    <n v="22"/>
    <n v="4"/>
    <x v="0"/>
    <x v="0"/>
    <x v="2"/>
    <s v="no"/>
    <n v="40"/>
    <s v="T2"/>
    <n v="85000"/>
    <n v="85000"/>
    <x v="2"/>
    <n v="0"/>
    <x v="1"/>
    <x v="5"/>
  </r>
  <r>
    <n v="1663"/>
    <s v="Terry"/>
    <s v="Harris"/>
    <n v="43"/>
    <n v="4"/>
    <x v="1"/>
    <x v="3"/>
    <x v="1"/>
    <s v="yes"/>
    <n v="32"/>
    <s v="T5"/>
    <n v="140400"/>
    <n v="112320"/>
    <x v="1"/>
    <n v="28080"/>
    <x v="0"/>
    <x v="2"/>
  </r>
  <r>
    <n v="3757"/>
    <s v="Danielle"/>
    <s v="Brown"/>
    <n v="35"/>
    <n v="9"/>
    <x v="0"/>
    <x v="1"/>
    <x v="1"/>
    <s v="no"/>
    <n v="20"/>
    <s v="T5"/>
    <n v="130000"/>
    <n v="65000"/>
    <x v="0"/>
    <n v="65000"/>
    <x v="0"/>
    <x v="0"/>
  </r>
  <r>
    <n v="7851"/>
    <s v="Amador"/>
    <s v="Roybal"/>
    <n v="54"/>
    <n v="2"/>
    <x v="1"/>
    <x v="3"/>
    <x v="4"/>
    <s v="no"/>
    <n v="8"/>
    <s v="T3"/>
    <n v="112135"/>
    <n v="22427"/>
    <x v="2"/>
    <n v="89708"/>
    <x v="0"/>
    <x v="1"/>
  </r>
  <r>
    <n v="8310"/>
    <s v="David"/>
    <s v="Nguyen"/>
    <n v="44"/>
    <n v="7"/>
    <x v="1"/>
    <x v="1"/>
    <x v="3"/>
    <s v="no"/>
    <n v="20"/>
    <s v="T4"/>
    <n v="124200"/>
    <n v="62100"/>
    <x v="2"/>
    <n v="62100"/>
    <x v="0"/>
    <x v="2"/>
  </r>
  <r>
    <n v="17246"/>
    <s v="Norma"/>
    <s v="Lugo"/>
    <n v="35"/>
    <n v="8"/>
    <x v="1"/>
    <x v="4"/>
    <x v="2"/>
    <s v="no"/>
    <n v="40"/>
    <s v="T2"/>
    <n v="98160"/>
    <n v="98160"/>
    <x v="2"/>
    <n v="0"/>
    <x v="1"/>
    <x v="0"/>
  </r>
  <r>
    <n v="20413"/>
    <s v="Jennifer"/>
    <s v="Scott"/>
    <n v="47"/>
    <n v="3"/>
    <x v="0"/>
    <x v="4"/>
    <x v="2"/>
    <s v="yes"/>
    <n v="16"/>
    <s v="T1"/>
    <n v="68000"/>
    <n v="27200"/>
    <x v="0"/>
    <n v="40800"/>
    <x v="0"/>
    <x v="6"/>
  </r>
  <r>
    <n v="1556"/>
    <s v="David"/>
    <s v="Hernandez"/>
    <n v="38"/>
    <n v="6"/>
    <x v="1"/>
    <x v="3"/>
    <x v="2"/>
    <s v="no"/>
    <n v="40"/>
    <s v="T2"/>
    <n v="107000"/>
    <n v="107000"/>
    <x v="1"/>
    <n v="0"/>
    <x v="1"/>
    <x v="3"/>
  </r>
  <r>
    <n v="19077"/>
    <s v="James"/>
    <s v="Bradford"/>
    <n v="34"/>
    <n v="0"/>
    <x v="1"/>
    <x v="3"/>
    <x v="2"/>
    <s v="no"/>
    <n v="20"/>
    <s v="T1"/>
    <n v="73440"/>
    <n v="36720"/>
    <x v="2"/>
    <n v="36720"/>
    <x v="0"/>
    <x v="0"/>
  </r>
  <r>
    <n v="7202"/>
    <s v="Noemí"/>
    <s v="Mora"/>
    <n v="24"/>
    <n v="0"/>
    <x v="1"/>
    <x v="2"/>
    <x v="0"/>
    <s v="no"/>
    <n v="24"/>
    <s v="T5"/>
    <n v="140400"/>
    <n v="84240"/>
    <x v="2"/>
    <n v="56160"/>
    <x v="0"/>
    <x v="5"/>
  </r>
  <r>
    <n v="21982"/>
    <s v="Alta Gracia"/>
    <s v="Alonzo"/>
    <n v="41"/>
    <n v="7"/>
    <x v="1"/>
    <x v="1"/>
    <x v="3"/>
    <s v="no"/>
    <n v="40"/>
    <s v="T3"/>
    <n v="122000"/>
    <n v="122000"/>
    <x v="2"/>
    <n v="0"/>
    <x v="1"/>
    <x v="2"/>
  </r>
  <r>
    <n v="18543"/>
    <s v="Ramón"/>
    <s v="Valenzuela"/>
    <n v="45"/>
    <n v="1"/>
    <x v="0"/>
    <x v="2"/>
    <x v="2"/>
    <s v="no"/>
    <n v="40"/>
    <s v="T2"/>
    <n v="93542"/>
    <n v="93542"/>
    <x v="2"/>
    <n v="0"/>
    <x v="1"/>
    <x v="2"/>
  </r>
  <r>
    <n v="14433"/>
    <s v="Karla"/>
    <s v="Flórez"/>
    <n v="35"/>
    <n v="1"/>
    <x v="1"/>
    <x v="1"/>
    <x v="2"/>
    <s v="no"/>
    <n v="40"/>
    <s v="T3"/>
    <n v="122000"/>
    <n v="122000"/>
    <x v="1"/>
    <n v="0"/>
    <x v="1"/>
    <x v="0"/>
  </r>
  <r>
    <n v="7910"/>
    <s v="Cathy"/>
    <s v="Smith"/>
    <n v="33"/>
    <n v="13"/>
    <x v="0"/>
    <x v="4"/>
    <x v="2"/>
    <s v="no"/>
    <n v="24"/>
    <s v="T1"/>
    <n v="68000"/>
    <n v="40800"/>
    <x v="0"/>
    <n v="27200"/>
    <x v="0"/>
    <x v="0"/>
  </r>
  <r>
    <n v="15406"/>
    <s v="Enrique"/>
    <s v="Sandoval"/>
    <n v="31"/>
    <n v="10"/>
    <x v="1"/>
    <x v="1"/>
    <x v="2"/>
    <s v="no"/>
    <n v="40"/>
    <s v="T3"/>
    <n v="111994"/>
    <n v="111994"/>
    <x v="2"/>
    <n v="0"/>
    <x v="1"/>
    <x v="0"/>
  </r>
  <r>
    <n v="19996"/>
    <s v="Theresa"/>
    <s v="Gonzalez"/>
    <n v="58"/>
    <n v="28"/>
    <x v="0"/>
    <x v="0"/>
    <x v="4"/>
    <s v="yes"/>
    <n v="40"/>
    <s v="T3"/>
    <n v="105387"/>
    <n v="105387"/>
    <x v="0"/>
    <n v="0"/>
    <x v="1"/>
    <x v="1"/>
  </r>
  <r>
    <n v="9802"/>
    <s v="Richard"/>
    <s v="Chase"/>
    <n v="54"/>
    <n v="3"/>
    <x v="1"/>
    <x v="4"/>
    <x v="2"/>
    <s v="yes"/>
    <n v="24"/>
    <s v="T1"/>
    <n v="73440"/>
    <n v="44064"/>
    <x v="0"/>
    <n v="29376"/>
    <x v="0"/>
    <x v="1"/>
  </r>
  <r>
    <n v="899"/>
    <s v="Patricia"/>
    <s v="Anderson"/>
    <n v="37"/>
    <n v="9"/>
    <x v="0"/>
    <x v="2"/>
    <x v="0"/>
    <s v="yes"/>
    <n v="32"/>
    <s v="T4"/>
    <n v="115000"/>
    <n v="92000"/>
    <x v="0"/>
    <n v="23000"/>
    <x v="0"/>
    <x v="3"/>
  </r>
  <r>
    <n v="5918"/>
    <s v="Lisa"/>
    <s v="Reid"/>
    <n v="34"/>
    <n v="14"/>
    <x v="0"/>
    <x v="2"/>
    <x v="1"/>
    <s v="no"/>
    <n v="8"/>
    <s v="T3"/>
    <n v="98000"/>
    <n v="19600"/>
    <x v="1"/>
    <n v="78400"/>
    <x v="0"/>
    <x v="0"/>
  </r>
  <r>
    <n v="14535"/>
    <s v="Charles"/>
    <s v="Molina"/>
    <n v="57"/>
    <n v="7"/>
    <x v="1"/>
    <x v="4"/>
    <x v="4"/>
    <s v="yes"/>
    <n v="16"/>
    <s v="T4"/>
    <n v="124200"/>
    <n v="49680"/>
    <x v="2"/>
    <n v="74520"/>
    <x v="0"/>
    <x v="1"/>
  </r>
  <r>
    <n v="11836"/>
    <s v="Tracy"/>
    <s v="Rojas"/>
    <n v="52"/>
    <n v="33"/>
    <x v="1"/>
    <x v="4"/>
    <x v="2"/>
    <s v="no"/>
    <n v="40"/>
    <s v="T2"/>
    <n v="101987"/>
    <n v="101987"/>
    <x v="2"/>
    <n v="0"/>
    <x v="1"/>
    <x v="1"/>
  </r>
  <r>
    <n v="9792"/>
    <s v="Jennifer"/>
    <s v="Wolf"/>
    <n v="33"/>
    <n v="6"/>
    <x v="0"/>
    <x v="4"/>
    <x v="3"/>
    <s v="no"/>
    <n v="20"/>
    <s v="T1"/>
    <n v="68000"/>
    <n v="34000"/>
    <x v="0"/>
    <n v="34000"/>
    <x v="0"/>
    <x v="0"/>
  </r>
  <r>
    <n v="5781"/>
    <s v="Robert"/>
    <s v="Jackson"/>
    <n v="61"/>
    <n v="1"/>
    <x v="1"/>
    <x v="1"/>
    <x v="1"/>
    <s v="no"/>
    <n v="20"/>
    <s v="T4"/>
    <n v="129427"/>
    <n v="64713.5"/>
    <x v="2"/>
    <n v="64713.5"/>
    <x v="0"/>
    <x v="1"/>
  </r>
  <r>
    <n v="7742"/>
    <s v="Jonathan"/>
    <s v="Stout"/>
    <n v="27"/>
    <n v="6"/>
    <x v="1"/>
    <x v="2"/>
    <x v="1"/>
    <s v="no"/>
    <n v="40"/>
    <s v="T2"/>
    <n v="107000"/>
    <n v="107000"/>
    <x v="1"/>
    <n v="0"/>
    <x v="1"/>
    <x v="4"/>
  </r>
  <r>
    <n v="11716"/>
    <s v="Norman"/>
    <s v="Williamson"/>
    <n v="60"/>
    <n v="35"/>
    <x v="1"/>
    <x v="4"/>
    <x v="2"/>
    <s v="no"/>
    <n v="32"/>
    <s v="T2"/>
    <n v="91800"/>
    <n v="73440"/>
    <x v="0"/>
    <n v="18360"/>
    <x v="0"/>
    <x v="1"/>
  </r>
  <r>
    <n v="4036"/>
    <s v="Kelly"/>
    <s v="Ray"/>
    <n v="51"/>
    <n v="14"/>
    <x v="0"/>
    <x v="0"/>
    <x v="3"/>
    <s v="no"/>
    <n v="40"/>
    <s v="T1"/>
    <n v="71511"/>
    <n v="71511"/>
    <x v="2"/>
    <n v="0"/>
    <x v="1"/>
    <x v="1"/>
  </r>
  <r>
    <n v="3726"/>
    <s v="Michael"/>
    <s v="Jensen"/>
    <n v="38"/>
    <n v="2"/>
    <x v="1"/>
    <x v="0"/>
    <x v="0"/>
    <s v="no"/>
    <n v="20"/>
    <s v="T3"/>
    <n v="122000"/>
    <n v="61000"/>
    <x v="1"/>
    <n v="61000"/>
    <x v="0"/>
    <x v="3"/>
  </r>
  <r>
    <n v="13136"/>
    <s v="Gabrielle"/>
    <s v="Mckenzie"/>
    <n v="53"/>
    <n v="30"/>
    <x v="0"/>
    <x v="4"/>
    <x v="3"/>
    <s v="yes"/>
    <n v="20"/>
    <s v="T1"/>
    <n v="68000"/>
    <n v="34000"/>
    <x v="2"/>
    <n v="34000"/>
    <x v="0"/>
    <x v="1"/>
  </r>
  <r>
    <n v="3856"/>
    <s v="Jose"/>
    <s v="Franklin"/>
    <n v="34"/>
    <n v="7"/>
    <x v="1"/>
    <x v="1"/>
    <x v="1"/>
    <s v="no"/>
    <n v="20"/>
    <s v="T2"/>
    <n v="106974"/>
    <n v="53487"/>
    <x v="1"/>
    <n v="53487"/>
    <x v="0"/>
    <x v="0"/>
  </r>
  <r>
    <n v="12450"/>
    <s v="Sean"/>
    <s v="Walker"/>
    <n v="26"/>
    <n v="0"/>
    <x v="1"/>
    <x v="4"/>
    <x v="2"/>
    <s v="no"/>
    <n v="32"/>
    <s v="T2"/>
    <n v="91800"/>
    <n v="73440"/>
    <x v="0"/>
    <n v="18360"/>
    <x v="0"/>
    <x v="4"/>
  </r>
  <r>
    <n v="11957"/>
    <s v="Rebecca"/>
    <s v="Roberts"/>
    <n v="21"/>
    <n v="3"/>
    <x v="0"/>
    <x v="2"/>
    <x v="2"/>
    <s v="no"/>
    <n v="20"/>
    <s v="T3"/>
    <n v="98000"/>
    <n v="49000"/>
    <x v="0"/>
    <n v="49000"/>
    <x v="0"/>
    <x v="5"/>
  </r>
  <r>
    <n v="20469"/>
    <s v="Carolyn"/>
    <s v="Cruz"/>
    <n v="39"/>
    <n v="10"/>
    <x v="0"/>
    <x v="0"/>
    <x v="2"/>
    <s v="yes"/>
    <n v="40"/>
    <s v="T1"/>
    <n v="77849"/>
    <n v="77849"/>
    <x v="2"/>
    <n v="0"/>
    <x v="1"/>
    <x v="3"/>
  </r>
  <r>
    <n v="9354"/>
    <s v="Joseph"/>
    <s v="Richard"/>
    <n v="37"/>
    <n v="1"/>
    <x v="1"/>
    <x v="4"/>
    <x v="1"/>
    <s v="no"/>
    <n v="40"/>
    <s v="T2"/>
    <n v="99216"/>
    <n v="99216"/>
    <x v="2"/>
    <n v="0"/>
    <x v="1"/>
    <x v="3"/>
  </r>
  <r>
    <n v="2110"/>
    <s v="Rebecca"/>
    <s v="Patterson"/>
    <n v="50"/>
    <n v="23"/>
    <x v="0"/>
    <x v="1"/>
    <x v="5"/>
    <s v="yes"/>
    <n v="24"/>
    <s v="T5"/>
    <n v="130000"/>
    <n v="78000"/>
    <x v="2"/>
    <n v="52000"/>
    <x v="0"/>
    <x v="1"/>
  </r>
  <r>
    <n v="15741"/>
    <s v="James"/>
    <s v="Gutierrez"/>
    <n v="26"/>
    <n v="2"/>
    <x v="1"/>
    <x v="1"/>
    <x v="1"/>
    <s v="no"/>
    <n v="40"/>
    <s v="T3"/>
    <n v="122000"/>
    <n v="122000"/>
    <x v="1"/>
    <n v="0"/>
    <x v="1"/>
    <x v="4"/>
  </r>
  <r>
    <n v="18258"/>
    <s v="Mark"/>
    <s v="Horton"/>
    <n v="22"/>
    <n v="3"/>
    <x v="1"/>
    <x v="2"/>
    <x v="2"/>
    <s v="no"/>
    <n v="40"/>
    <s v="T2"/>
    <n v="107000"/>
    <n v="107000"/>
    <x v="1"/>
    <n v="0"/>
    <x v="1"/>
    <x v="5"/>
  </r>
  <r>
    <n v="4777"/>
    <s v="Sandra"/>
    <s v="Ávila"/>
    <n v="25"/>
    <n v="7"/>
    <x v="1"/>
    <x v="2"/>
    <x v="3"/>
    <s v="no"/>
    <n v="40"/>
    <s v="T3"/>
    <n v="122000"/>
    <n v="122000"/>
    <x v="1"/>
    <n v="0"/>
    <x v="1"/>
    <x v="4"/>
  </r>
  <r>
    <n v="13090"/>
    <s v="Rebecca"/>
    <s v="Brooks"/>
    <n v="39"/>
    <n v="16"/>
    <x v="0"/>
    <x v="4"/>
    <x v="1"/>
    <s v="no"/>
    <n v="16"/>
    <s v="T2"/>
    <n v="85000"/>
    <n v="34000"/>
    <x v="2"/>
    <n v="51000"/>
    <x v="0"/>
    <x v="3"/>
  </r>
  <r>
    <n v="3269"/>
    <s v="Espartaco"/>
    <s v="Garay"/>
    <n v="34"/>
    <n v="13"/>
    <x v="0"/>
    <x v="0"/>
    <x v="3"/>
    <s v="no"/>
    <n v="40"/>
    <s v="T1"/>
    <n v="76261"/>
    <n v="76261"/>
    <x v="2"/>
    <n v="0"/>
    <x v="1"/>
    <x v="0"/>
  </r>
  <r>
    <n v="18776"/>
    <s v="Nathan"/>
    <s v="Lopez"/>
    <n v="50"/>
    <n v="21"/>
    <x v="1"/>
    <x v="1"/>
    <x v="2"/>
    <s v="no"/>
    <n v="32"/>
    <s v="T2"/>
    <n v="91800"/>
    <n v="73440"/>
    <x v="0"/>
    <n v="18360"/>
    <x v="0"/>
    <x v="1"/>
  </r>
  <r>
    <n v="10293"/>
    <s v="Jesse"/>
    <s v="Mcguire"/>
    <n v="20"/>
    <n v="2"/>
    <x v="1"/>
    <x v="2"/>
    <x v="3"/>
    <s v="no"/>
    <n v="20"/>
    <s v="T3"/>
    <n v="105840"/>
    <n v="52920"/>
    <x v="0"/>
    <n v="52920"/>
    <x v="0"/>
    <x v="5"/>
  </r>
  <r>
    <n v="21286"/>
    <s v="Laura"/>
    <s v="Cox"/>
    <n v="35"/>
    <n v="11"/>
    <x v="0"/>
    <x v="0"/>
    <x v="1"/>
    <s v="no"/>
    <n v="20"/>
    <s v="T3"/>
    <n v="107354"/>
    <n v="53677"/>
    <x v="2"/>
    <n v="53677"/>
    <x v="0"/>
    <x v="0"/>
  </r>
  <r>
    <n v="20954"/>
    <s v="Samantha"/>
    <s v="Mahoney"/>
    <n v="27"/>
    <n v="0"/>
    <x v="0"/>
    <x v="1"/>
    <x v="4"/>
    <s v="no"/>
    <n v="24"/>
    <s v="T5"/>
    <n v="130000"/>
    <n v="78000"/>
    <x v="0"/>
    <n v="52000"/>
    <x v="0"/>
    <x v="4"/>
  </r>
  <r>
    <n v="12537"/>
    <s v="Emily"/>
    <s v="Ritter"/>
    <n v="40"/>
    <n v="7"/>
    <x v="0"/>
    <x v="1"/>
    <x v="1"/>
    <s v="yes"/>
    <n v="24"/>
    <s v="T2"/>
    <n v="85000"/>
    <n v="51000"/>
    <x v="0"/>
    <n v="34000"/>
    <x v="0"/>
    <x v="3"/>
  </r>
  <r>
    <n v="19605"/>
    <s v="Cristal"/>
    <s v="Campos"/>
    <n v="59"/>
    <n v="29"/>
    <x v="1"/>
    <x v="0"/>
    <x v="4"/>
    <s v="yes"/>
    <n v="40"/>
    <s v="T3"/>
    <n v="122000"/>
    <n v="122000"/>
    <x v="0"/>
    <n v="0"/>
    <x v="1"/>
    <x v="1"/>
  </r>
  <r>
    <n v="6987"/>
    <s v="Diane"/>
    <s v="Gates"/>
    <n v="49"/>
    <n v="9"/>
    <x v="0"/>
    <x v="2"/>
    <x v="1"/>
    <s v="no"/>
    <n v="20"/>
    <s v="T3"/>
    <n v="98000"/>
    <n v="49000"/>
    <x v="0"/>
    <n v="49000"/>
    <x v="0"/>
    <x v="6"/>
  </r>
  <r>
    <n v="2966"/>
    <s v="Sandra"/>
    <s v="Angulo"/>
    <n v="43"/>
    <n v="23"/>
    <x v="0"/>
    <x v="4"/>
    <x v="4"/>
    <s v="yes"/>
    <n v="24"/>
    <s v="T3"/>
    <n v="98000"/>
    <n v="58800"/>
    <x v="0"/>
    <n v="39200"/>
    <x v="0"/>
    <x v="2"/>
  </r>
  <r>
    <n v="2188"/>
    <s v="Robert"/>
    <s v="Singh"/>
    <n v="59"/>
    <n v="15"/>
    <x v="1"/>
    <x v="3"/>
    <x v="0"/>
    <s v="yes"/>
    <n v="40"/>
    <s v="T3"/>
    <n v="111002"/>
    <n v="111002"/>
    <x v="2"/>
    <n v="0"/>
    <x v="1"/>
    <x v="1"/>
  </r>
  <r>
    <n v="22355"/>
    <s v="Jesse"/>
    <s v="Quinn"/>
    <n v="36"/>
    <n v="1"/>
    <x v="1"/>
    <x v="3"/>
    <x v="1"/>
    <s v="no"/>
    <n v="32"/>
    <s v="T5"/>
    <n v="140400"/>
    <n v="112320"/>
    <x v="2"/>
    <n v="28080"/>
    <x v="0"/>
    <x v="3"/>
  </r>
  <r>
    <n v="8154"/>
    <s v="Katherine"/>
    <s v="Adams"/>
    <n v="29"/>
    <n v="8"/>
    <x v="0"/>
    <x v="1"/>
    <x v="0"/>
    <s v="no"/>
    <n v="32"/>
    <s v="T5"/>
    <n v="130000"/>
    <n v="104000"/>
    <x v="0"/>
    <n v="26000"/>
    <x v="0"/>
    <x v="4"/>
  </r>
  <r>
    <n v="10169"/>
    <s v="Tina"/>
    <s v="Williams"/>
    <n v="42"/>
    <n v="5"/>
    <x v="0"/>
    <x v="0"/>
    <x v="1"/>
    <s v="no"/>
    <n v="20"/>
    <s v="T3"/>
    <n v="98000"/>
    <n v="49000"/>
    <x v="2"/>
    <n v="49000"/>
    <x v="0"/>
    <x v="2"/>
  </r>
  <r>
    <n v="3301"/>
    <s v="Donna"/>
    <s v="Davis"/>
    <n v="42"/>
    <n v="1"/>
    <x v="0"/>
    <x v="2"/>
    <x v="1"/>
    <s v="yes"/>
    <n v="32"/>
    <s v="T3"/>
    <n v="98000"/>
    <n v="78400"/>
    <x v="0"/>
    <n v="19600"/>
    <x v="0"/>
    <x v="2"/>
  </r>
  <r>
    <n v="8315"/>
    <s v="Anabel"/>
    <s v="Esparza"/>
    <n v="61"/>
    <n v="13"/>
    <x v="1"/>
    <x v="4"/>
    <x v="4"/>
    <s v="yes"/>
    <n v="32"/>
    <s v="T4"/>
    <n v="130562"/>
    <n v="104449.60000000001"/>
    <x v="1"/>
    <n v="26112.399999999994"/>
    <x v="0"/>
    <x v="1"/>
  </r>
  <r>
    <n v="3996"/>
    <s v="Sean"/>
    <s v="Montgomery"/>
    <n v="28"/>
    <n v="0"/>
    <x v="1"/>
    <x v="2"/>
    <x v="1"/>
    <s v="no"/>
    <n v="40"/>
    <s v="T2"/>
    <n v="106021"/>
    <n v="106021"/>
    <x v="1"/>
    <n v="0"/>
    <x v="1"/>
    <x v="4"/>
  </r>
  <r>
    <n v="13142"/>
    <s v="Mary"/>
    <s v="Ingram"/>
    <n v="47"/>
    <n v="21"/>
    <x v="0"/>
    <x v="4"/>
    <x v="3"/>
    <s v="no"/>
    <n v="20"/>
    <s v="T1"/>
    <n v="68000"/>
    <n v="34000"/>
    <x v="1"/>
    <n v="34000"/>
    <x v="0"/>
    <x v="6"/>
  </r>
  <r>
    <n v="9795"/>
    <s v="Marisela"/>
    <s v="Reynoso"/>
    <n v="46"/>
    <n v="15"/>
    <x v="0"/>
    <x v="1"/>
    <x v="4"/>
    <s v="yes"/>
    <n v="16"/>
    <s v="T4"/>
    <n v="115000"/>
    <n v="46000"/>
    <x v="0"/>
    <n v="69000"/>
    <x v="0"/>
    <x v="6"/>
  </r>
  <r>
    <n v="15544"/>
    <s v="Joshua"/>
    <s v="Jones"/>
    <n v="23"/>
    <n v="3"/>
    <x v="1"/>
    <x v="0"/>
    <x v="3"/>
    <s v="no"/>
    <n v="40"/>
    <s v="T2"/>
    <n v="107000"/>
    <n v="107000"/>
    <x v="1"/>
    <n v="0"/>
    <x v="1"/>
    <x v="5"/>
  </r>
  <r>
    <n v="21517"/>
    <s v="Andre"/>
    <s v="Daniels"/>
    <n v="44"/>
    <n v="6"/>
    <x v="1"/>
    <x v="2"/>
    <x v="3"/>
    <s v="no"/>
    <n v="40"/>
    <s v="T2"/>
    <n v="100716"/>
    <n v="100716"/>
    <x v="2"/>
    <n v="0"/>
    <x v="1"/>
    <x v="2"/>
  </r>
  <r>
    <n v="12641"/>
    <s v="Patrick"/>
    <s v="Smith"/>
    <n v="32"/>
    <n v="10"/>
    <x v="1"/>
    <x v="4"/>
    <x v="0"/>
    <s v="no"/>
    <n v="16"/>
    <s v="T2"/>
    <n v="100430"/>
    <n v="40172"/>
    <x v="1"/>
    <n v="60258"/>
    <x v="0"/>
    <x v="0"/>
  </r>
  <r>
    <n v="6016"/>
    <s v="Kurt"/>
    <s v="Henry"/>
    <n v="34"/>
    <n v="1"/>
    <x v="1"/>
    <x v="3"/>
    <x v="2"/>
    <s v="no"/>
    <n v="40"/>
    <s v="T2"/>
    <n v="105117"/>
    <n v="105117"/>
    <x v="2"/>
    <n v="0"/>
    <x v="1"/>
    <x v="0"/>
  </r>
  <r>
    <n v="12817"/>
    <s v="Christopher"/>
    <s v="Cook"/>
    <n v="38"/>
    <n v="10"/>
    <x v="1"/>
    <x v="1"/>
    <x v="3"/>
    <s v="no"/>
    <n v="20"/>
    <s v="T3"/>
    <n v="105840"/>
    <n v="52920"/>
    <x v="2"/>
    <n v="52920"/>
    <x v="0"/>
    <x v="3"/>
  </r>
  <r>
    <n v="12328"/>
    <s v="James"/>
    <s v="Stafford"/>
    <n v="49"/>
    <n v="5"/>
    <x v="1"/>
    <x v="1"/>
    <x v="0"/>
    <s v="no"/>
    <n v="20"/>
    <s v="T3"/>
    <n v="122000"/>
    <n v="61000"/>
    <x v="1"/>
    <n v="61000"/>
    <x v="0"/>
    <x v="6"/>
  </r>
  <r>
    <n v="7552"/>
    <s v="Mayte"/>
    <s v="Robles"/>
    <n v="57"/>
    <n v="19"/>
    <x v="0"/>
    <x v="2"/>
    <x v="3"/>
    <s v="no"/>
    <n v="32"/>
    <s v="T3"/>
    <n v="98000"/>
    <n v="78400"/>
    <x v="0"/>
    <n v="19600"/>
    <x v="0"/>
    <x v="1"/>
  </r>
  <r>
    <n v="22647"/>
    <s v="Jaime"/>
    <s v="Vallejo"/>
    <n v="24"/>
    <n v="3"/>
    <x v="0"/>
    <x v="4"/>
    <x v="4"/>
    <s v="no"/>
    <n v="20"/>
    <s v="T3"/>
    <n v="98000"/>
    <n v="49000"/>
    <x v="0"/>
    <n v="49000"/>
    <x v="0"/>
    <x v="5"/>
  </r>
  <r>
    <n v="9435"/>
    <s v="Marcela"/>
    <s v="Carvajal"/>
    <n v="34"/>
    <n v="12"/>
    <x v="0"/>
    <x v="2"/>
    <x v="3"/>
    <s v="no"/>
    <n v="20"/>
    <s v="T3"/>
    <n v="98000"/>
    <n v="49000"/>
    <x v="2"/>
    <n v="49000"/>
    <x v="0"/>
    <x v="0"/>
  </r>
  <r>
    <n v="21921"/>
    <s v="Clinton"/>
    <s v="Woods"/>
    <n v="44"/>
    <n v="20"/>
    <x v="1"/>
    <x v="4"/>
    <x v="1"/>
    <s v="yes"/>
    <n v="32"/>
    <s v="T3"/>
    <n v="114326"/>
    <n v="91460.800000000003"/>
    <x v="2"/>
    <n v="22865.199999999997"/>
    <x v="0"/>
    <x v="2"/>
  </r>
  <r>
    <n v="3026"/>
    <s v="Kristen"/>
    <s v="Ward"/>
    <n v="52"/>
    <n v="19"/>
    <x v="0"/>
    <x v="4"/>
    <x v="3"/>
    <s v="no"/>
    <n v="32"/>
    <s v="T1"/>
    <n v="68000"/>
    <n v="54400"/>
    <x v="0"/>
    <n v="13600"/>
    <x v="0"/>
    <x v="1"/>
  </r>
  <r>
    <n v="20647"/>
    <s v="Paul"/>
    <s v="Sutton"/>
    <n v="41"/>
    <n v="4"/>
    <x v="1"/>
    <x v="4"/>
    <x v="3"/>
    <s v="no"/>
    <n v="40"/>
    <s v="T2"/>
    <n v="103887"/>
    <n v="103887"/>
    <x v="1"/>
    <n v="0"/>
    <x v="1"/>
    <x v="2"/>
  </r>
  <r>
    <n v="21493"/>
    <s v="Marisela"/>
    <s v="Vaca"/>
    <n v="49"/>
    <n v="28"/>
    <x v="1"/>
    <x v="4"/>
    <x v="3"/>
    <s v="no"/>
    <n v="40"/>
    <s v="T2"/>
    <n v="107000"/>
    <n v="107000"/>
    <x v="1"/>
    <n v="0"/>
    <x v="1"/>
    <x v="6"/>
  </r>
  <r>
    <n v="6294"/>
    <s v="Rubén"/>
    <s v="Ulloa"/>
    <n v="37"/>
    <n v="8"/>
    <x v="1"/>
    <x v="2"/>
    <x v="2"/>
    <s v="no"/>
    <n v="40"/>
    <s v="T2"/>
    <n v="107000"/>
    <n v="107000"/>
    <x v="1"/>
    <n v="0"/>
    <x v="1"/>
    <x v="3"/>
  </r>
  <r>
    <n v="18189"/>
    <s v="Ellen"/>
    <s v="Sharp"/>
    <n v="56"/>
    <n v="7"/>
    <x v="0"/>
    <x v="4"/>
    <x v="3"/>
    <s v="no"/>
    <n v="20"/>
    <s v="T3"/>
    <n v="98000"/>
    <n v="49000"/>
    <x v="0"/>
    <n v="49000"/>
    <x v="0"/>
    <x v="1"/>
  </r>
  <r>
    <n v="8708"/>
    <s v="John"/>
    <s v="Walsh"/>
    <n v="38"/>
    <n v="15"/>
    <x v="1"/>
    <x v="0"/>
    <x v="2"/>
    <s v="no"/>
    <n v="40"/>
    <s v="T2"/>
    <n v="107000"/>
    <n v="107000"/>
    <x v="1"/>
    <n v="0"/>
    <x v="1"/>
    <x v="3"/>
  </r>
  <r>
    <n v="6041"/>
    <s v="Matthew"/>
    <s v="Frey"/>
    <n v="40"/>
    <n v="5"/>
    <x v="1"/>
    <x v="3"/>
    <x v="2"/>
    <s v="no"/>
    <n v="40"/>
    <s v="T3"/>
    <n v="109516"/>
    <n v="109516"/>
    <x v="2"/>
    <n v="0"/>
    <x v="1"/>
    <x v="3"/>
  </r>
  <r>
    <n v="15834"/>
    <s v="Jacqueline"/>
    <s v="Hancock"/>
    <n v="34"/>
    <n v="5"/>
    <x v="0"/>
    <x v="2"/>
    <x v="4"/>
    <s v="no"/>
    <n v="24"/>
    <s v="T5"/>
    <n v="130000"/>
    <n v="78000"/>
    <x v="2"/>
    <n v="52000"/>
    <x v="0"/>
    <x v="0"/>
  </r>
  <r>
    <n v="13120"/>
    <s v="Jill"/>
    <s v="Baker"/>
    <n v="45"/>
    <n v="14"/>
    <x v="0"/>
    <x v="3"/>
    <x v="0"/>
    <s v="yes"/>
    <n v="8"/>
    <s v="T4"/>
    <n v="115000"/>
    <n v="23000"/>
    <x v="0"/>
    <n v="92000"/>
    <x v="0"/>
    <x v="2"/>
  </r>
  <r>
    <n v="9532"/>
    <s v="Steven"/>
    <s v="Fox"/>
    <n v="32"/>
    <n v="11"/>
    <x v="1"/>
    <x v="1"/>
    <x v="3"/>
    <s v="no"/>
    <n v="40"/>
    <s v="T2"/>
    <n v="103172"/>
    <n v="103172"/>
    <x v="1"/>
    <n v="0"/>
    <x v="1"/>
    <x v="0"/>
  </r>
  <r>
    <n v="21658"/>
    <s v="Sarah"/>
    <s v="Navarro"/>
    <n v="36"/>
    <n v="13"/>
    <x v="0"/>
    <x v="2"/>
    <x v="6"/>
    <s v="no"/>
    <n v="32"/>
    <s v="T5"/>
    <n v="130000"/>
    <n v="104000"/>
    <x v="2"/>
    <n v="26000"/>
    <x v="0"/>
    <x v="3"/>
  </r>
  <r>
    <n v="18937"/>
    <s v="Jorge"/>
    <s v="Thompson"/>
    <n v="25"/>
    <n v="5"/>
    <x v="1"/>
    <x v="3"/>
    <x v="1"/>
    <s v="no"/>
    <n v="40"/>
    <s v="T3"/>
    <n v="111931"/>
    <n v="111931"/>
    <x v="1"/>
    <n v="0"/>
    <x v="1"/>
    <x v="4"/>
  </r>
  <r>
    <n v="7883"/>
    <s v="Samuel"/>
    <s v="Storey"/>
    <n v="51"/>
    <n v="24"/>
    <x v="1"/>
    <x v="2"/>
    <x v="2"/>
    <s v="yes"/>
    <n v="32"/>
    <s v="T1"/>
    <n v="79811"/>
    <n v="63848.800000000003"/>
    <x v="2"/>
    <n v="15962.199999999997"/>
    <x v="0"/>
    <x v="1"/>
  </r>
  <r>
    <n v="11313"/>
    <s v="Amador"/>
    <s v="Valadez"/>
    <n v="44"/>
    <n v="10"/>
    <x v="0"/>
    <x v="2"/>
    <x v="2"/>
    <s v="yes"/>
    <n v="24"/>
    <s v="T1"/>
    <n v="68000"/>
    <n v="40800"/>
    <x v="0"/>
    <n v="27200"/>
    <x v="0"/>
    <x v="2"/>
  </r>
  <r>
    <n v="2519"/>
    <s v="Sibilla"/>
    <s v="Hellwig"/>
    <n v="32"/>
    <n v="1"/>
    <x v="0"/>
    <x v="3"/>
    <x v="1"/>
    <s v="no"/>
    <n v="40"/>
    <s v="T4"/>
    <n v="119100"/>
    <n v="119100"/>
    <x v="1"/>
    <n v="0"/>
    <x v="1"/>
    <x v="0"/>
  </r>
  <r>
    <n v="8192"/>
    <s v="Danielle"/>
    <s v="Hall"/>
    <n v="40"/>
    <n v="6"/>
    <x v="0"/>
    <x v="2"/>
    <x v="3"/>
    <s v="yes"/>
    <n v="24"/>
    <s v="T1"/>
    <n v="68000"/>
    <n v="40800"/>
    <x v="0"/>
    <n v="27200"/>
    <x v="0"/>
    <x v="3"/>
  </r>
  <r>
    <n v="1738"/>
    <s v="Joyce"/>
    <s v="Allen"/>
    <n v="33"/>
    <n v="6"/>
    <x v="0"/>
    <x v="3"/>
    <x v="1"/>
    <s v="no"/>
    <n v="20"/>
    <s v="T3"/>
    <n v="103930"/>
    <n v="51965"/>
    <x v="2"/>
    <n v="51965"/>
    <x v="0"/>
    <x v="0"/>
  </r>
  <r>
    <n v="11023"/>
    <s v="Richard"/>
    <s v="Odom"/>
    <n v="44"/>
    <n v="4"/>
    <x v="1"/>
    <x v="1"/>
    <x v="2"/>
    <s v="no"/>
    <n v="40"/>
    <s v="T3"/>
    <n v="110619"/>
    <n v="110619"/>
    <x v="2"/>
    <n v="0"/>
    <x v="1"/>
    <x v="2"/>
  </r>
  <r>
    <n v="13832"/>
    <s v="Matthew"/>
    <s v="Jones"/>
    <n v="64"/>
    <n v="12"/>
    <x v="1"/>
    <x v="4"/>
    <x v="2"/>
    <s v="yes"/>
    <n v="20"/>
    <s v="T1"/>
    <n v="73440"/>
    <n v="36720"/>
    <x v="0"/>
    <n v="36720"/>
    <x v="0"/>
    <x v="1"/>
  </r>
  <r>
    <n v="9460"/>
    <s v="Brian"/>
    <s v="Aguilar"/>
    <n v="44"/>
    <n v="14"/>
    <x v="1"/>
    <x v="0"/>
    <x v="3"/>
    <s v="no"/>
    <n v="40"/>
    <s v="T4"/>
    <n v="138000"/>
    <n v="138000"/>
    <x v="2"/>
    <n v="0"/>
    <x v="1"/>
    <x v="2"/>
  </r>
  <r>
    <n v="2855"/>
    <s v="Cynthia"/>
    <s v="Mooney"/>
    <n v="39"/>
    <n v="14"/>
    <x v="0"/>
    <x v="3"/>
    <x v="3"/>
    <s v="no"/>
    <n v="40"/>
    <s v="T2"/>
    <n v="97040"/>
    <n v="97040"/>
    <x v="2"/>
    <n v="0"/>
    <x v="1"/>
    <x v="3"/>
  </r>
  <r>
    <n v="7600"/>
    <s v="Leonard"/>
    <s v="Woods"/>
    <n v="37"/>
    <n v="18"/>
    <x v="1"/>
    <x v="2"/>
    <x v="1"/>
    <s v="no"/>
    <n v="40"/>
    <s v="T2"/>
    <n v="103955"/>
    <n v="103955"/>
    <x v="2"/>
    <n v="0"/>
    <x v="1"/>
    <x v="3"/>
  </r>
  <r>
    <n v="19272"/>
    <s v="Pamela"/>
    <s v="Badillo"/>
    <n v="40"/>
    <n v="19"/>
    <x v="0"/>
    <x v="3"/>
    <x v="1"/>
    <s v="no"/>
    <n v="20"/>
    <s v="T3"/>
    <n v="106129"/>
    <n v="53064.5"/>
    <x v="2"/>
    <n v="53064.5"/>
    <x v="0"/>
    <x v="3"/>
  </r>
  <r>
    <n v="10998"/>
    <s v="John"/>
    <s v="Singleton"/>
    <n v="43"/>
    <n v="5"/>
    <x v="1"/>
    <x v="3"/>
    <x v="0"/>
    <s v="yes"/>
    <n v="32"/>
    <s v="T2"/>
    <n v="98459"/>
    <n v="78767.199999999997"/>
    <x v="2"/>
    <n v="19691.800000000003"/>
    <x v="0"/>
    <x v="2"/>
  </r>
  <r>
    <n v="7654"/>
    <s v="Christopher"/>
    <s v="Perez"/>
    <n v="43"/>
    <n v="24"/>
    <x v="1"/>
    <x v="3"/>
    <x v="2"/>
    <s v="no"/>
    <n v="40"/>
    <s v="T2"/>
    <n v="107000"/>
    <n v="107000"/>
    <x v="2"/>
    <n v="0"/>
    <x v="1"/>
    <x v="2"/>
  </r>
  <r>
    <n v="22164"/>
    <s v="Alicia"/>
    <s v="Lira"/>
    <n v="51"/>
    <n v="31"/>
    <x v="1"/>
    <x v="3"/>
    <x v="3"/>
    <s v="no"/>
    <n v="32"/>
    <s v="T1"/>
    <n v="79277"/>
    <n v="63421.599999999999"/>
    <x v="2"/>
    <n v="15855.400000000001"/>
    <x v="0"/>
    <x v="1"/>
  </r>
  <r>
    <n v="17045"/>
    <s v="Benjamín"/>
    <s v="Toledo"/>
    <n v="57"/>
    <n v="3"/>
    <x v="0"/>
    <x v="2"/>
    <x v="2"/>
    <s v="no"/>
    <n v="40"/>
    <s v="T3"/>
    <n v="98000"/>
    <n v="98000"/>
    <x v="2"/>
    <n v="0"/>
    <x v="1"/>
    <x v="1"/>
  </r>
  <r>
    <n v="13651"/>
    <s v="Agustín"/>
    <s v="Duarte"/>
    <n v="24"/>
    <n v="0"/>
    <x v="1"/>
    <x v="0"/>
    <x v="1"/>
    <s v="no"/>
    <n v="40"/>
    <s v="T4"/>
    <n v="138000"/>
    <n v="138000"/>
    <x v="1"/>
    <n v="0"/>
    <x v="1"/>
    <x v="5"/>
  </r>
  <r>
    <n v="21751"/>
    <s v="Paul"/>
    <s v="Terrell"/>
    <n v="52"/>
    <n v="1"/>
    <x v="1"/>
    <x v="4"/>
    <x v="3"/>
    <s v="no"/>
    <n v="40"/>
    <s v="T2"/>
    <n v="100794"/>
    <n v="100794"/>
    <x v="1"/>
    <n v="0"/>
    <x v="1"/>
    <x v="1"/>
  </r>
  <r>
    <n v="15722"/>
    <s v="Concepción"/>
    <s v="Villalobos"/>
    <n v="38"/>
    <n v="3"/>
    <x v="0"/>
    <x v="2"/>
    <x v="2"/>
    <s v="no"/>
    <n v="40"/>
    <s v="T2"/>
    <n v="96799"/>
    <n v="96799"/>
    <x v="2"/>
    <n v="0"/>
    <x v="1"/>
    <x v="3"/>
  </r>
  <r>
    <n v="5368"/>
    <s v="Gabriel"/>
    <s v="Gilbert"/>
    <n v="43"/>
    <n v="6"/>
    <x v="1"/>
    <x v="1"/>
    <x v="2"/>
    <s v="no"/>
    <n v="40"/>
    <s v="T2"/>
    <n v="97259"/>
    <n v="97259"/>
    <x v="2"/>
    <n v="0"/>
    <x v="1"/>
    <x v="2"/>
  </r>
  <r>
    <n v="9366"/>
    <s v="Tanya"/>
    <s v="Davis"/>
    <n v="57"/>
    <n v="12"/>
    <x v="0"/>
    <x v="0"/>
    <x v="2"/>
    <s v="no"/>
    <n v="40"/>
    <s v="T2"/>
    <n v="88613"/>
    <n v="88613"/>
    <x v="2"/>
    <n v="0"/>
    <x v="1"/>
    <x v="1"/>
  </r>
  <r>
    <n v="5262"/>
    <s v="Serafín"/>
    <s v="Montemayor"/>
    <n v="23"/>
    <n v="2"/>
    <x v="1"/>
    <x v="4"/>
    <x v="3"/>
    <s v="no"/>
    <n v="40"/>
    <s v="T2"/>
    <n v="100247"/>
    <n v="100247"/>
    <x v="2"/>
    <n v="0"/>
    <x v="1"/>
    <x v="5"/>
  </r>
  <r>
    <n v="8768"/>
    <s v="Артем"/>
    <s v="Якушев"/>
    <n v="37"/>
    <n v="10"/>
    <x v="1"/>
    <x v="0"/>
    <x v="3"/>
    <s v="no"/>
    <n v="40"/>
    <s v="T1"/>
    <n v="87000"/>
    <n v="87000"/>
    <x v="1"/>
    <n v="0"/>
    <x v="1"/>
    <x v="3"/>
  </r>
  <r>
    <n v="19081"/>
    <s v="Perry"/>
    <s v="Hahn"/>
    <n v="27"/>
    <n v="8"/>
    <x v="1"/>
    <x v="1"/>
    <x v="4"/>
    <s v="no"/>
    <n v="20"/>
    <s v="T5"/>
    <n v="140995"/>
    <n v="70497.5"/>
    <x v="1"/>
    <n v="70497.5"/>
    <x v="0"/>
    <x v="4"/>
  </r>
  <r>
    <n v="18348"/>
    <s v="Monica"/>
    <s v="Rosales"/>
    <n v="53"/>
    <n v="35"/>
    <x v="0"/>
    <x v="1"/>
    <x v="1"/>
    <s v="no"/>
    <n v="32"/>
    <s v="T2"/>
    <n v="85000"/>
    <n v="68000"/>
    <x v="0"/>
    <n v="17000"/>
    <x v="0"/>
    <x v="1"/>
  </r>
  <r>
    <n v="9296"/>
    <s v="Yvette"/>
    <s v="Webb"/>
    <n v="36"/>
    <n v="2"/>
    <x v="0"/>
    <x v="1"/>
    <x v="3"/>
    <s v="no"/>
    <n v="20"/>
    <s v="T1"/>
    <n v="68000"/>
    <n v="34000"/>
    <x v="0"/>
    <n v="34000"/>
    <x v="0"/>
    <x v="3"/>
  </r>
  <r>
    <n v="19842"/>
    <s v="Kyle"/>
    <s v="Bailey"/>
    <n v="32"/>
    <n v="13"/>
    <x v="1"/>
    <x v="1"/>
    <x v="1"/>
    <s v="no"/>
    <n v="20"/>
    <s v="T3"/>
    <n v="112109"/>
    <n v="56054.5"/>
    <x v="1"/>
    <n v="56054.5"/>
    <x v="0"/>
    <x v="0"/>
  </r>
  <r>
    <n v="14725"/>
    <s v="Tom"/>
    <s v="Campbell"/>
    <n v="34"/>
    <n v="2"/>
    <x v="1"/>
    <x v="1"/>
    <x v="2"/>
    <s v="no"/>
    <n v="40"/>
    <s v="T2"/>
    <n v="92035"/>
    <n v="92035"/>
    <x v="1"/>
    <n v="0"/>
    <x v="1"/>
    <x v="0"/>
  </r>
  <r>
    <n v="19808"/>
    <s v="Nicholas"/>
    <s v="Young"/>
    <n v="41"/>
    <n v="21"/>
    <x v="1"/>
    <x v="2"/>
    <x v="6"/>
    <s v="yes"/>
    <n v="16"/>
    <s v="T2"/>
    <n v="92432"/>
    <n v="36972.800000000003"/>
    <x v="2"/>
    <n v="55459.199999999997"/>
    <x v="0"/>
    <x v="2"/>
  </r>
  <r>
    <n v="13774"/>
    <s v="Karen"/>
    <s v="Davis"/>
    <n v="38"/>
    <n v="18"/>
    <x v="0"/>
    <x v="1"/>
    <x v="1"/>
    <s v="no"/>
    <n v="40"/>
    <s v="T2"/>
    <n v="85000"/>
    <n v="85000"/>
    <x v="2"/>
    <n v="0"/>
    <x v="1"/>
    <x v="3"/>
  </r>
  <r>
    <n v="12548"/>
    <s v="Joseph"/>
    <s v="Orr"/>
    <n v="59"/>
    <n v="6"/>
    <x v="1"/>
    <x v="4"/>
    <x v="1"/>
    <s v="yes"/>
    <n v="24"/>
    <s v="T2"/>
    <n v="91800"/>
    <n v="55080"/>
    <x v="2"/>
    <n v="36720"/>
    <x v="0"/>
    <x v="1"/>
  </r>
  <r>
    <n v="7873"/>
    <s v="Micaela"/>
    <s v="Feliciano"/>
    <n v="50"/>
    <n v="15"/>
    <x v="1"/>
    <x v="1"/>
    <x v="0"/>
    <s v="yes"/>
    <n v="8"/>
    <s v="T4"/>
    <n v="124200"/>
    <n v="24840"/>
    <x v="1"/>
    <n v="99360"/>
    <x v="0"/>
    <x v="1"/>
  </r>
  <r>
    <n v="5219"/>
    <s v="Dana"/>
    <s v="Johnson"/>
    <n v="50"/>
    <n v="6"/>
    <x v="0"/>
    <x v="0"/>
    <x v="2"/>
    <s v="no"/>
    <n v="40"/>
    <s v="T2"/>
    <n v="93409"/>
    <n v="93409"/>
    <x v="2"/>
    <n v="0"/>
    <x v="1"/>
    <x v="1"/>
  </r>
  <r>
    <n v="17383"/>
    <s v="Marisol"/>
    <s v="Heredia"/>
    <n v="25"/>
    <n v="2"/>
    <x v="0"/>
    <x v="2"/>
    <x v="3"/>
    <s v="no"/>
    <n v="16"/>
    <s v="T2"/>
    <n v="85000"/>
    <n v="34000"/>
    <x v="0"/>
    <n v="51000"/>
    <x v="0"/>
    <x v="4"/>
  </r>
  <r>
    <n v="16858"/>
    <s v="Trevor"/>
    <s v="Cannon"/>
    <n v="41"/>
    <n v="7"/>
    <x v="1"/>
    <x v="0"/>
    <x v="3"/>
    <s v="yes"/>
    <n v="40"/>
    <s v="T1"/>
    <n v="87000"/>
    <n v="87000"/>
    <x v="1"/>
    <n v="0"/>
    <x v="1"/>
    <x v="2"/>
  </r>
  <r>
    <n v="3665"/>
    <s v="Clara"/>
    <s v="Maestas"/>
    <n v="31"/>
    <n v="12"/>
    <x v="0"/>
    <x v="1"/>
    <x v="3"/>
    <s v="no"/>
    <n v="20"/>
    <s v="T1"/>
    <n v="68000"/>
    <n v="34000"/>
    <x v="0"/>
    <n v="34000"/>
    <x v="0"/>
    <x v="0"/>
  </r>
  <r>
    <n v="2230"/>
    <s v="Brenda"/>
    <s v="Brown"/>
    <n v="29"/>
    <n v="5"/>
    <x v="0"/>
    <x v="3"/>
    <x v="0"/>
    <s v="no"/>
    <n v="20"/>
    <s v="T3"/>
    <n v="98000"/>
    <n v="49000"/>
    <x v="1"/>
    <n v="49000"/>
    <x v="0"/>
    <x v="4"/>
  </r>
  <r>
    <n v="4279"/>
    <s v="Shannon"/>
    <s v="Nicholson"/>
    <n v="42"/>
    <n v="17"/>
    <x v="0"/>
    <x v="1"/>
    <x v="1"/>
    <s v="no"/>
    <n v="32"/>
    <s v="T2"/>
    <n v="85000"/>
    <n v="68000"/>
    <x v="2"/>
    <n v="17000"/>
    <x v="0"/>
    <x v="2"/>
  </r>
  <r>
    <n v="5695"/>
    <s v="Richard"/>
    <s v="Davis"/>
    <n v="53"/>
    <n v="4"/>
    <x v="1"/>
    <x v="1"/>
    <x v="1"/>
    <s v="no"/>
    <n v="20"/>
    <s v="T2"/>
    <n v="99775"/>
    <n v="49887.5"/>
    <x v="0"/>
    <n v="49887.5"/>
    <x v="0"/>
    <x v="1"/>
  </r>
  <r>
    <n v="21247"/>
    <s v="Javier"/>
    <s v="Smith"/>
    <n v="59"/>
    <n v="25"/>
    <x v="1"/>
    <x v="3"/>
    <x v="2"/>
    <s v="no"/>
    <n v="40"/>
    <s v="T2"/>
    <n v="102177"/>
    <n v="127721.25"/>
    <x v="1"/>
    <n v="-25544.25"/>
    <x v="2"/>
    <x v="1"/>
  </r>
  <r>
    <n v="5929"/>
    <s v="Sharon"/>
    <s v="Rodgers"/>
    <n v="40"/>
    <n v="18"/>
    <x v="0"/>
    <x v="2"/>
    <x v="1"/>
    <s v="no"/>
    <n v="20"/>
    <s v="T2"/>
    <n v="85000"/>
    <n v="42500"/>
    <x v="2"/>
    <n v="42500"/>
    <x v="0"/>
    <x v="3"/>
  </r>
  <r>
    <n v="14520"/>
    <s v="Joseph"/>
    <s v="Chase"/>
    <n v="32"/>
    <n v="11"/>
    <x v="1"/>
    <x v="1"/>
    <x v="1"/>
    <s v="no"/>
    <n v="40"/>
    <s v="T2"/>
    <n v="107000"/>
    <n v="107000"/>
    <x v="2"/>
    <n v="0"/>
    <x v="1"/>
    <x v="0"/>
  </r>
  <r>
    <n v="20230"/>
    <s v="Chad"/>
    <s v="Diaz"/>
    <n v="42"/>
    <n v="23"/>
    <x v="1"/>
    <x v="2"/>
    <x v="3"/>
    <s v="yes"/>
    <n v="32"/>
    <s v="T1"/>
    <n v="79042"/>
    <n v="63233.599999999999"/>
    <x v="2"/>
    <n v="15808.400000000001"/>
    <x v="0"/>
    <x v="2"/>
  </r>
  <r>
    <n v="2768"/>
    <s v="Jose"/>
    <s v="Rodriguez"/>
    <n v="44"/>
    <n v="23"/>
    <x v="1"/>
    <x v="4"/>
    <x v="2"/>
    <s v="no"/>
    <n v="40"/>
    <s v="T2"/>
    <n v="94262"/>
    <n v="94262"/>
    <x v="2"/>
    <n v="0"/>
    <x v="1"/>
    <x v="2"/>
  </r>
  <r>
    <n v="13295"/>
    <s v="Michael"/>
    <s v="Bowman"/>
    <n v="26"/>
    <n v="7"/>
    <x v="1"/>
    <x v="4"/>
    <x v="2"/>
    <s v="no"/>
    <n v="40"/>
    <s v="T2"/>
    <n v="101279"/>
    <n v="101279"/>
    <x v="1"/>
    <n v="0"/>
    <x v="1"/>
    <x v="4"/>
  </r>
  <r>
    <n v="13191"/>
    <s v="Christopher"/>
    <s v="Rocha"/>
    <n v="44"/>
    <n v="9"/>
    <x v="1"/>
    <x v="0"/>
    <x v="3"/>
    <s v="no"/>
    <n v="40"/>
    <s v="T4"/>
    <n v="135465"/>
    <n v="135465"/>
    <x v="1"/>
    <n v="0"/>
    <x v="1"/>
    <x v="2"/>
  </r>
  <r>
    <n v="20213"/>
    <s v="Mariah"/>
    <s v="Sellers"/>
    <n v="43"/>
    <n v="17"/>
    <x v="0"/>
    <x v="2"/>
    <x v="2"/>
    <s v="no"/>
    <n v="40"/>
    <s v="T3"/>
    <n v="99502"/>
    <n v="99502"/>
    <x v="2"/>
    <n v="0"/>
    <x v="1"/>
    <x v="2"/>
  </r>
  <r>
    <n v="16024"/>
    <s v="Desiree"/>
    <s v="Sanchez"/>
    <n v="37"/>
    <n v="10"/>
    <x v="0"/>
    <x v="0"/>
    <x v="0"/>
    <s v="no"/>
    <n v="20"/>
    <s v="T2"/>
    <n v="85000"/>
    <n v="42500"/>
    <x v="2"/>
    <n v="42500"/>
    <x v="0"/>
    <x v="3"/>
  </r>
  <r>
    <n v="18025"/>
    <s v="Michael"/>
    <s v="Fuller"/>
    <n v="56"/>
    <n v="38"/>
    <x v="1"/>
    <x v="0"/>
    <x v="1"/>
    <s v="no"/>
    <n v="40"/>
    <s v="T3"/>
    <n v="122000"/>
    <n v="122000"/>
    <x v="2"/>
    <n v="0"/>
    <x v="1"/>
    <x v="1"/>
  </r>
  <r>
    <n v="8925"/>
    <s v="Michelle"/>
    <s v="Santiago"/>
    <n v="26"/>
    <n v="7"/>
    <x v="0"/>
    <x v="1"/>
    <x v="3"/>
    <s v="no"/>
    <n v="40"/>
    <s v="T3"/>
    <n v="107979"/>
    <n v="107979"/>
    <x v="2"/>
    <n v="0"/>
    <x v="1"/>
    <x v="4"/>
  </r>
  <r>
    <n v="18815"/>
    <s v="Amy"/>
    <s v="Hoffman"/>
    <n v="48"/>
    <n v="30"/>
    <x v="0"/>
    <x v="4"/>
    <x v="2"/>
    <s v="no"/>
    <n v="40"/>
    <s v="T3"/>
    <n v="98000"/>
    <n v="98000"/>
    <x v="2"/>
    <n v="0"/>
    <x v="1"/>
    <x v="6"/>
  </r>
  <r>
    <n v="1063"/>
    <s v="John"/>
    <s v="Collins"/>
    <n v="45"/>
    <n v="4"/>
    <x v="1"/>
    <x v="2"/>
    <x v="1"/>
    <s v="no"/>
    <n v="40"/>
    <s v="T2"/>
    <n v="92747"/>
    <n v="92747"/>
    <x v="2"/>
    <n v="0"/>
    <x v="1"/>
    <x v="2"/>
  </r>
  <r>
    <n v="4440"/>
    <s v="Brian"/>
    <s v="Washington"/>
    <n v="44"/>
    <n v="19"/>
    <x v="1"/>
    <x v="2"/>
    <x v="5"/>
    <s v="yes"/>
    <n v="20"/>
    <s v="T4"/>
    <n v="124200"/>
    <n v="62100"/>
    <x v="2"/>
    <n v="62100"/>
    <x v="0"/>
    <x v="2"/>
  </r>
  <r>
    <n v="18282"/>
    <s v="Evelio"/>
    <s v="Baca"/>
    <n v="43"/>
    <n v="8"/>
    <x v="1"/>
    <x v="0"/>
    <x v="0"/>
    <s v="yes"/>
    <n v="40"/>
    <s v="T3"/>
    <n v="117932"/>
    <n v="117932"/>
    <x v="2"/>
    <n v="0"/>
    <x v="1"/>
    <x v="2"/>
  </r>
  <r>
    <n v="9430"/>
    <s v="Cameron"/>
    <s v="Morris"/>
    <n v="33"/>
    <n v="4"/>
    <x v="1"/>
    <x v="3"/>
    <x v="3"/>
    <s v="no"/>
    <n v="40"/>
    <s v="T4"/>
    <n v="138000"/>
    <n v="138000"/>
    <x v="2"/>
    <n v="0"/>
    <x v="1"/>
    <x v="0"/>
  </r>
  <r>
    <n v="5695"/>
    <s v="Richard"/>
    <s v="Davis"/>
    <n v="53"/>
    <n v="4"/>
    <x v="1"/>
    <x v="1"/>
    <x v="0"/>
    <s v="no"/>
    <n v="20"/>
    <s v="T2"/>
    <n v="99775"/>
    <n v="49887.5"/>
    <x v="0"/>
    <n v="49887.5"/>
    <x v="0"/>
    <x v="1"/>
  </r>
  <r>
    <n v="21690"/>
    <s v="Teresa"/>
    <s v="Mccarthy"/>
    <n v="57"/>
    <n v="16"/>
    <x v="0"/>
    <x v="1"/>
    <x v="6"/>
    <s v="yes"/>
    <n v="32"/>
    <s v="T3"/>
    <n v="99787"/>
    <n v="79829.600000000006"/>
    <x v="2"/>
    <n v="19957.399999999994"/>
    <x v="0"/>
    <x v="1"/>
  </r>
  <r>
    <n v="11833"/>
    <s v="Teresa"/>
    <s v="Holland"/>
    <n v="35"/>
    <n v="4"/>
    <x v="0"/>
    <x v="4"/>
    <x v="0"/>
    <s v="no"/>
    <n v="20"/>
    <s v="T2"/>
    <n v="85000"/>
    <n v="42500"/>
    <x v="0"/>
    <n v="42500"/>
    <x v="0"/>
    <x v="0"/>
  </r>
  <r>
    <n v="4342"/>
    <s v="Thomas"/>
    <s v="Barnes"/>
    <n v="34"/>
    <n v="0"/>
    <x v="1"/>
    <x v="1"/>
    <x v="3"/>
    <s v="no"/>
    <n v="40"/>
    <s v="T3"/>
    <n v="121136"/>
    <n v="121136"/>
    <x v="1"/>
    <n v="0"/>
    <x v="1"/>
    <x v="0"/>
  </r>
  <r>
    <n v="10304"/>
    <s v="Douglas"/>
    <s v="Crawford"/>
    <n v="31"/>
    <n v="3"/>
    <x v="1"/>
    <x v="0"/>
    <x v="0"/>
    <s v="no"/>
    <n v="40"/>
    <s v="T2"/>
    <n v="106245"/>
    <n v="106245"/>
    <x v="2"/>
    <n v="0"/>
    <x v="1"/>
    <x v="0"/>
  </r>
  <r>
    <n v="14933"/>
    <s v="Michael"/>
    <s v="Flores"/>
    <n v="49"/>
    <n v="8"/>
    <x v="1"/>
    <x v="2"/>
    <x v="2"/>
    <s v="no"/>
    <n v="32"/>
    <s v="T2"/>
    <n v="95387"/>
    <n v="76309.600000000006"/>
    <x v="0"/>
    <n v="19077.399999999994"/>
    <x v="0"/>
    <x v="6"/>
  </r>
  <r>
    <n v="5869"/>
    <s v="Sarah"/>
    <s v="Sandoval"/>
    <n v="54"/>
    <n v="26"/>
    <x v="0"/>
    <x v="2"/>
    <x v="1"/>
    <s v="no"/>
    <n v="32"/>
    <s v="T2"/>
    <n v="85573"/>
    <n v="68458.399999999994"/>
    <x v="0"/>
    <n v="17114.600000000006"/>
    <x v="0"/>
    <x v="1"/>
  </r>
  <r>
    <n v="15554"/>
    <s v="David"/>
    <s v="Bailey"/>
    <n v="64"/>
    <n v="6"/>
    <x v="1"/>
    <x v="1"/>
    <x v="0"/>
    <s v="no"/>
    <n v="20"/>
    <s v="T3"/>
    <n v="122000"/>
    <n v="61000"/>
    <x v="1"/>
    <n v="61000"/>
    <x v="0"/>
    <x v="1"/>
  </r>
  <r>
    <n v="793"/>
    <s v="Johnny"/>
    <s v="Castro"/>
    <n v="42"/>
    <n v="14"/>
    <x v="1"/>
    <x v="0"/>
    <x v="1"/>
    <s v="no"/>
    <n v="40"/>
    <s v="T2"/>
    <n v="101950"/>
    <n v="101950"/>
    <x v="2"/>
    <n v="0"/>
    <x v="1"/>
    <x v="2"/>
  </r>
  <r>
    <n v="9317"/>
    <s v="James"/>
    <s v="Austin"/>
    <n v="50"/>
    <n v="25"/>
    <x v="1"/>
    <x v="1"/>
    <x v="3"/>
    <s v="no"/>
    <n v="20"/>
    <s v="T1"/>
    <n v="73440"/>
    <n v="45900"/>
    <x v="2"/>
    <n v="27540"/>
    <x v="0"/>
    <x v="1"/>
  </r>
  <r>
    <n v="17090"/>
    <s v="Linda"/>
    <s v="Cook"/>
    <n v="50"/>
    <n v="11"/>
    <x v="0"/>
    <x v="4"/>
    <x v="3"/>
    <s v="no"/>
    <n v="32"/>
    <s v="T3"/>
    <n v="98000"/>
    <n v="78400"/>
    <x v="0"/>
    <n v="19600"/>
    <x v="0"/>
    <x v="1"/>
  </r>
  <r>
    <n v="6541"/>
    <s v="Lori"/>
    <s v="Bowers"/>
    <n v="43"/>
    <n v="18"/>
    <x v="0"/>
    <x v="4"/>
    <x v="3"/>
    <s v="no"/>
    <n v="20"/>
    <s v="T2"/>
    <n v="85000"/>
    <n v="42500"/>
    <x v="2"/>
    <n v="42500"/>
    <x v="0"/>
    <x v="2"/>
  </r>
  <r>
    <n v="17322"/>
    <s v="Christopher"/>
    <s v="Carlson"/>
    <n v="63"/>
    <n v="45"/>
    <x v="1"/>
    <x v="3"/>
    <x v="3"/>
    <s v="yes"/>
    <n v="24"/>
    <s v="T1"/>
    <n v="73440"/>
    <n v="44064"/>
    <x v="0"/>
    <n v="29376"/>
    <x v="0"/>
    <x v="1"/>
  </r>
  <r>
    <n v="4173"/>
    <s v="Brittany"/>
    <s v="Baker"/>
    <n v="40"/>
    <n v="14"/>
    <x v="0"/>
    <x v="0"/>
    <x v="0"/>
    <s v="yes"/>
    <n v="40"/>
    <s v="T5"/>
    <n v="130000"/>
    <n v="130000"/>
    <x v="0"/>
    <n v="0"/>
    <x v="1"/>
    <x v="3"/>
  </r>
  <r>
    <n v="21176"/>
    <s v="Michael"/>
    <s v="Johnson"/>
    <n v="48"/>
    <n v="29"/>
    <x v="1"/>
    <x v="2"/>
    <x v="0"/>
    <s v="yes"/>
    <n v="32"/>
    <s v="T3"/>
    <n v="105840"/>
    <n v="84672"/>
    <x v="2"/>
    <n v="21168"/>
    <x v="0"/>
    <x v="6"/>
  </r>
  <r>
    <n v="10466"/>
    <s v="Melissa"/>
    <s v="Carter"/>
    <n v="59"/>
    <n v="9"/>
    <x v="0"/>
    <x v="4"/>
    <x v="3"/>
    <s v="no"/>
    <n v="20"/>
    <s v="T2"/>
    <n v="85000"/>
    <n v="42500"/>
    <x v="0"/>
    <n v="42500"/>
    <x v="0"/>
    <x v="1"/>
  </r>
  <r>
    <n v="21624"/>
    <s v="Lisa"/>
    <s v="Jennings"/>
    <n v="29"/>
    <n v="6"/>
    <x v="0"/>
    <x v="2"/>
    <x v="2"/>
    <s v="no"/>
    <n v="40"/>
    <s v="T2"/>
    <n v="89630"/>
    <n v="89630"/>
    <x v="2"/>
    <n v="0"/>
    <x v="1"/>
    <x v="4"/>
  </r>
  <r>
    <n v="20641"/>
    <s v="Diego"/>
    <s v="Estévez"/>
    <n v="46"/>
    <n v="11"/>
    <x v="1"/>
    <x v="1"/>
    <x v="2"/>
    <s v="no"/>
    <n v="40"/>
    <s v="T3"/>
    <n v="119349"/>
    <n v="119349"/>
    <x v="1"/>
    <n v="0"/>
    <x v="1"/>
    <x v="6"/>
  </r>
  <r>
    <n v="7204"/>
    <s v="Sean"/>
    <s v="Murphy"/>
    <n v="43"/>
    <n v="10"/>
    <x v="1"/>
    <x v="2"/>
    <x v="1"/>
    <s v="no"/>
    <n v="40"/>
    <s v="T3"/>
    <n v="122000"/>
    <n v="122000"/>
    <x v="1"/>
    <n v="0"/>
    <x v="1"/>
    <x v="2"/>
  </r>
  <r>
    <n v="12939"/>
    <s v="Andres"/>
    <s v="Anderson"/>
    <n v="57"/>
    <n v="18"/>
    <x v="1"/>
    <x v="3"/>
    <x v="3"/>
    <s v="no"/>
    <n v="20"/>
    <s v="T1"/>
    <n v="75408"/>
    <n v="37704"/>
    <x v="2"/>
    <n v="37704"/>
    <x v="0"/>
    <x v="1"/>
  </r>
  <r>
    <n v="5980"/>
    <s v="Robert"/>
    <s v="Weeks"/>
    <n v="52"/>
    <n v="14"/>
    <x v="1"/>
    <x v="4"/>
    <x v="2"/>
    <s v="no"/>
    <n v="32"/>
    <s v="T2"/>
    <n v="91800"/>
    <n v="73440"/>
    <x v="0"/>
    <n v="18360"/>
    <x v="0"/>
    <x v="1"/>
  </r>
  <r>
    <n v="18361"/>
    <s v="Katherine"/>
    <s v="Grant"/>
    <n v="43"/>
    <n v="20"/>
    <x v="0"/>
    <x v="0"/>
    <x v="3"/>
    <s v="no"/>
    <n v="32"/>
    <s v="T1"/>
    <n v="68000"/>
    <n v="54400"/>
    <x v="2"/>
    <n v="13600"/>
    <x v="0"/>
    <x v="2"/>
  </r>
  <r>
    <n v="18065"/>
    <s v="Jody"/>
    <s v="Caldwell"/>
    <n v="45"/>
    <n v="13"/>
    <x v="0"/>
    <x v="0"/>
    <x v="0"/>
    <s v="no"/>
    <n v="20"/>
    <s v="T3"/>
    <n v="98000"/>
    <n v="49000"/>
    <x v="0"/>
    <n v="49000"/>
    <x v="0"/>
    <x v="2"/>
  </r>
  <r>
    <n v="705"/>
    <s v="Amelia"/>
    <s v="Gutiérrez"/>
    <n v="64"/>
    <n v="43"/>
    <x v="0"/>
    <x v="3"/>
    <x v="2"/>
    <s v="no"/>
    <n v="32"/>
    <s v="T2"/>
    <n v="85000"/>
    <n v="68000"/>
    <x v="0"/>
    <n v="17000"/>
    <x v="0"/>
    <x v="1"/>
  </r>
  <r>
    <n v="20313"/>
    <s v="Erica"/>
    <s v="King"/>
    <n v="53"/>
    <n v="8"/>
    <x v="0"/>
    <x v="0"/>
    <x v="5"/>
    <s v="yes"/>
    <n v="24"/>
    <s v="T4"/>
    <n v="115000"/>
    <n v="69000"/>
    <x v="0"/>
    <n v="46000"/>
    <x v="0"/>
    <x v="1"/>
  </r>
  <r>
    <n v="11308"/>
    <s v="Jessica"/>
    <s v="Barnes"/>
    <n v="46"/>
    <n v="24"/>
    <x v="0"/>
    <x v="3"/>
    <x v="3"/>
    <s v="yes"/>
    <n v="8"/>
    <s v="T1"/>
    <n v="68000"/>
    <n v="13600"/>
    <x v="0"/>
    <n v="54400"/>
    <x v="0"/>
    <x v="6"/>
  </r>
  <r>
    <n v="16697"/>
    <s v="Anthony"/>
    <s v="Armstrong"/>
    <n v="29"/>
    <n v="1"/>
    <x v="1"/>
    <x v="3"/>
    <x v="2"/>
    <s v="no"/>
    <n v="40"/>
    <s v="T2"/>
    <n v="100951"/>
    <n v="100951"/>
    <x v="1"/>
    <n v="0"/>
    <x v="1"/>
    <x v="4"/>
  </r>
  <r>
    <n v="1325"/>
    <s v="Ian"/>
    <s v="Martinez"/>
    <n v="46"/>
    <n v="18"/>
    <x v="1"/>
    <x v="0"/>
    <x v="2"/>
    <s v="no"/>
    <n v="40"/>
    <s v="T3"/>
    <n v="122000"/>
    <n v="122000"/>
    <x v="1"/>
    <n v="0"/>
    <x v="1"/>
    <x v="6"/>
  </r>
  <r>
    <n v="4352"/>
    <s v="Lawrence"/>
    <s v="Fletcher"/>
    <n v="59"/>
    <n v="2"/>
    <x v="1"/>
    <x v="4"/>
    <x v="2"/>
    <s v="no"/>
    <n v="40"/>
    <s v="T2"/>
    <n v="92665"/>
    <n v="92665"/>
    <x v="2"/>
    <n v="0"/>
    <x v="1"/>
    <x v="1"/>
  </r>
  <r>
    <n v="12581"/>
    <s v="Ashley"/>
    <s v="Smith"/>
    <n v="60"/>
    <n v="35"/>
    <x v="0"/>
    <x v="3"/>
    <x v="0"/>
    <s v="yes"/>
    <n v="24"/>
    <s v="T4"/>
    <n v="115000"/>
    <n v="69000"/>
    <x v="0"/>
    <n v="46000"/>
    <x v="0"/>
    <x v="1"/>
  </r>
  <r>
    <n v="10763"/>
    <s v="Courtney"/>
    <s v="Campos"/>
    <n v="55"/>
    <n v="17"/>
    <x v="0"/>
    <x v="2"/>
    <x v="2"/>
    <s v="no"/>
    <n v="20"/>
    <s v="T1"/>
    <n v="68000"/>
    <n v="34000"/>
    <x v="0"/>
    <n v="34000"/>
    <x v="0"/>
    <x v="1"/>
  </r>
  <r>
    <n v="8533"/>
    <s v="Kristin"/>
    <s v="Hughes"/>
    <n v="58"/>
    <n v="7"/>
    <x v="0"/>
    <x v="3"/>
    <x v="1"/>
    <s v="no"/>
    <n v="40"/>
    <s v="T2"/>
    <n v="88745"/>
    <n v="88745"/>
    <x v="2"/>
    <n v="0"/>
    <x v="1"/>
    <x v="1"/>
  </r>
  <r>
    <n v="2585"/>
    <s v="Noah"/>
    <s v="Houston"/>
    <n v="29"/>
    <n v="10"/>
    <x v="1"/>
    <x v="3"/>
    <x v="6"/>
    <s v="no"/>
    <n v="24"/>
    <s v="T3"/>
    <n v="105840"/>
    <n v="63504"/>
    <x v="2"/>
    <n v="42336"/>
    <x v="0"/>
    <x v="4"/>
  </r>
  <r>
    <n v="8579"/>
    <s v="Mónica"/>
    <s v="Quiñones"/>
    <n v="31"/>
    <n v="1"/>
    <x v="1"/>
    <x v="3"/>
    <x v="4"/>
    <s v="no"/>
    <n v="32"/>
    <s v="T4"/>
    <n v="127218"/>
    <n v="101774.39999999999"/>
    <x v="0"/>
    <n v="25443.600000000006"/>
    <x v="0"/>
    <x v="0"/>
  </r>
  <r>
    <n v="19278"/>
    <s v="María Luisa"/>
    <s v="Marroquín"/>
    <n v="34"/>
    <n v="15"/>
    <x v="1"/>
    <x v="3"/>
    <x v="2"/>
    <s v="no"/>
    <n v="40"/>
    <s v="T2"/>
    <n v="101260"/>
    <n v="101260"/>
    <x v="1"/>
    <n v="0"/>
    <x v="1"/>
    <x v="0"/>
  </r>
  <r>
    <n v="3267"/>
    <s v="Michael"/>
    <s v="Howe"/>
    <n v="59"/>
    <n v="22"/>
    <x v="1"/>
    <x v="2"/>
    <x v="3"/>
    <s v="no"/>
    <n v="32"/>
    <s v="T1"/>
    <n v="73440"/>
    <n v="58752"/>
    <x v="0"/>
    <n v="14688"/>
    <x v="0"/>
    <x v="1"/>
  </r>
  <r>
    <n v="3493"/>
    <s v="Stephanie"/>
    <s v="Noble"/>
    <n v="38"/>
    <n v="13"/>
    <x v="0"/>
    <x v="0"/>
    <x v="0"/>
    <s v="yes"/>
    <n v="40"/>
    <s v="T2"/>
    <n v="85000"/>
    <n v="85000"/>
    <x v="0"/>
    <n v="0"/>
    <x v="1"/>
    <x v="3"/>
  </r>
  <r>
    <n v="16611"/>
    <s v="Celia"/>
    <s v="Rico"/>
    <n v="35"/>
    <n v="16"/>
    <x v="1"/>
    <x v="1"/>
    <x v="1"/>
    <s v="no"/>
    <n v="20"/>
    <s v="T3"/>
    <n v="113606"/>
    <n v="56803"/>
    <x v="1"/>
    <n v="56803"/>
    <x v="0"/>
    <x v="0"/>
  </r>
  <r>
    <n v="2954"/>
    <s v="Julie"/>
    <s v="Myers"/>
    <n v="31"/>
    <n v="8"/>
    <x v="0"/>
    <x v="0"/>
    <x v="2"/>
    <s v="no"/>
    <n v="40"/>
    <s v="T2"/>
    <n v="85000"/>
    <n v="85000"/>
    <x v="2"/>
    <n v="0"/>
    <x v="1"/>
    <x v="0"/>
  </r>
  <r>
    <n v="18142"/>
    <s v="Shelby"/>
    <s v="Richardson"/>
    <n v="43"/>
    <n v="12"/>
    <x v="0"/>
    <x v="3"/>
    <x v="3"/>
    <s v="no"/>
    <n v="32"/>
    <s v="T2"/>
    <n v="85000"/>
    <n v="68000"/>
    <x v="2"/>
    <n v="17000"/>
    <x v="0"/>
    <x v="2"/>
  </r>
  <r>
    <n v="4807"/>
    <s v="Angela"/>
    <s v="Elliott"/>
    <n v="44"/>
    <n v="9"/>
    <x v="0"/>
    <x v="3"/>
    <x v="1"/>
    <s v="no"/>
    <n v="24"/>
    <s v="T2"/>
    <n v="85000"/>
    <n v="51000"/>
    <x v="0"/>
    <n v="34000"/>
    <x v="0"/>
    <x v="2"/>
  </r>
  <r>
    <n v="4894"/>
    <s v="Christine"/>
    <s v="Collins"/>
    <n v="33"/>
    <n v="14"/>
    <x v="0"/>
    <x v="3"/>
    <x v="4"/>
    <s v="no"/>
    <n v="20"/>
    <s v="T4"/>
    <n v="115000"/>
    <n v="57500"/>
    <x v="2"/>
    <n v="57500"/>
    <x v="0"/>
    <x v="0"/>
  </r>
  <r>
    <n v="22305"/>
    <s v="David"/>
    <s v="Trejo"/>
    <n v="29"/>
    <n v="4"/>
    <x v="1"/>
    <x v="1"/>
    <x v="2"/>
    <s v="no"/>
    <n v="40"/>
    <s v="T3"/>
    <n v="108283"/>
    <n v="108283"/>
    <x v="2"/>
    <n v="0"/>
    <x v="1"/>
    <x v="4"/>
  </r>
  <r>
    <n v="16261"/>
    <s v="Donna"/>
    <s v="Hall"/>
    <n v="43"/>
    <n v="2"/>
    <x v="0"/>
    <x v="2"/>
    <x v="1"/>
    <s v="no"/>
    <n v="20"/>
    <s v="T2"/>
    <n v="92582"/>
    <n v="46291"/>
    <x v="2"/>
    <n v="46291"/>
    <x v="0"/>
    <x v="2"/>
  </r>
  <r>
    <n v="18702"/>
    <s v="Michael"/>
    <s v="Bruce"/>
    <n v="44"/>
    <n v="23"/>
    <x v="1"/>
    <x v="3"/>
    <x v="2"/>
    <s v="no"/>
    <n v="32"/>
    <s v="T1"/>
    <n v="74449"/>
    <n v="59559.199999999997"/>
    <x v="2"/>
    <n v="14889.800000000003"/>
    <x v="0"/>
    <x v="2"/>
  </r>
  <r>
    <n v="6097"/>
    <s v="Jack"/>
    <s v="Young"/>
    <n v="33"/>
    <n v="15"/>
    <x v="1"/>
    <x v="1"/>
    <x v="2"/>
    <s v="no"/>
    <n v="40"/>
    <s v="T3"/>
    <n v="122000"/>
    <n v="122000"/>
    <x v="1"/>
    <n v="0"/>
    <x v="1"/>
    <x v="0"/>
  </r>
  <r>
    <n v="9372"/>
    <s v="Eloy"/>
    <s v="Orta"/>
    <n v="32"/>
    <n v="14"/>
    <x v="0"/>
    <x v="1"/>
    <x v="6"/>
    <s v="no"/>
    <n v="24"/>
    <s v="T5"/>
    <n v="130000"/>
    <n v="78000"/>
    <x v="0"/>
    <n v="52000"/>
    <x v="0"/>
    <x v="0"/>
  </r>
  <r>
    <n v="17977"/>
    <s v="Jose"/>
    <s v="Conway"/>
    <n v="53"/>
    <n v="35"/>
    <x v="1"/>
    <x v="1"/>
    <x v="2"/>
    <s v="no"/>
    <n v="20"/>
    <s v="T3"/>
    <n v="105840"/>
    <n v="52920"/>
    <x v="2"/>
    <n v="52920"/>
    <x v="0"/>
    <x v="1"/>
  </r>
  <r>
    <n v="20563"/>
    <s v="Nathan"/>
    <s v="Acosta"/>
    <n v="52"/>
    <n v="17"/>
    <x v="1"/>
    <x v="1"/>
    <x v="2"/>
    <s v="no"/>
    <n v="40"/>
    <s v="T3"/>
    <n v="109726"/>
    <n v="109726"/>
    <x v="2"/>
    <n v="0"/>
    <x v="1"/>
    <x v="1"/>
  </r>
  <r>
    <n v="14552"/>
    <s v="Tanya"/>
    <s v="Ramos"/>
    <n v="22"/>
    <n v="4"/>
    <x v="0"/>
    <x v="3"/>
    <x v="3"/>
    <s v="no"/>
    <n v="20"/>
    <s v="T2"/>
    <n v="85000"/>
    <n v="42500"/>
    <x v="0"/>
    <n v="42500"/>
    <x v="0"/>
    <x v="5"/>
  </r>
  <r>
    <n v="7627"/>
    <s v="Jessica"/>
    <s v="Lindsey"/>
    <n v="22"/>
    <n v="4"/>
    <x v="0"/>
    <x v="2"/>
    <x v="3"/>
    <s v="no"/>
    <n v="32"/>
    <s v="T1"/>
    <n v="68000"/>
    <n v="54400"/>
    <x v="0"/>
    <n v="13600"/>
    <x v="0"/>
    <x v="5"/>
  </r>
  <r>
    <n v="18358"/>
    <s v="Alexander"/>
    <s v="Jones"/>
    <n v="22"/>
    <n v="4"/>
    <x v="1"/>
    <x v="3"/>
    <x v="1"/>
    <s v="no"/>
    <n v="32"/>
    <s v="T4"/>
    <n v="128812"/>
    <n v="103049.60000000001"/>
    <x v="0"/>
    <n v="25762.399999999994"/>
    <x v="0"/>
    <x v="5"/>
  </r>
  <r>
    <n v="7278"/>
    <s v="Tara"/>
    <s v="Stephenson"/>
    <n v="28"/>
    <n v="7"/>
    <x v="0"/>
    <x v="0"/>
    <x v="1"/>
    <s v="no"/>
    <n v="40"/>
    <s v="T2"/>
    <n v="90889"/>
    <n v="90889"/>
    <x v="1"/>
    <n v="0"/>
    <x v="1"/>
    <x v="4"/>
  </r>
  <r>
    <n v="10901"/>
    <s v="Seth"/>
    <s v="Weber"/>
    <n v="46"/>
    <n v="23"/>
    <x v="1"/>
    <x v="1"/>
    <x v="3"/>
    <s v="yes"/>
    <n v="20"/>
    <s v="T4"/>
    <n v="128296"/>
    <n v="64148"/>
    <x v="2"/>
    <n v="64148"/>
    <x v="0"/>
    <x v="6"/>
  </r>
  <r>
    <n v="13761"/>
    <s v="Jeffrey"/>
    <s v="White"/>
    <n v="53"/>
    <n v="29"/>
    <x v="1"/>
    <x v="0"/>
    <x v="0"/>
    <s v="no"/>
    <n v="20"/>
    <s v="T4"/>
    <n v="138000"/>
    <n v="69000"/>
    <x v="2"/>
    <n v="69000"/>
    <x v="0"/>
    <x v="1"/>
  </r>
  <r>
    <n v="22696"/>
    <s v="Margarita"/>
    <s v="Aparicio"/>
    <n v="51"/>
    <n v="7"/>
    <x v="0"/>
    <x v="1"/>
    <x v="1"/>
    <s v="no"/>
    <n v="16"/>
    <s v="T4"/>
    <n v="115000"/>
    <n v="46000"/>
    <x v="1"/>
    <n v="69000"/>
    <x v="0"/>
    <x v="1"/>
  </r>
  <r>
    <n v="12923"/>
    <s v="Jaime"/>
    <s v="Carmona"/>
    <n v="36"/>
    <n v="1"/>
    <x v="0"/>
    <x v="2"/>
    <x v="0"/>
    <s v="yes"/>
    <n v="24"/>
    <s v="T2"/>
    <n v="86154"/>
    <n v="51692.4"/>
    <x v="2"/>
    <n v="34461.599999999999"/>
    <x v="0"/>
    <x v="3"/>
  </r>
  <r>
    <n v="15042"/>
    <s v="Latoya"/>
    <s v="Brown"/>
    <n v="58"/>
    <n v="21"/>
    <x v="0"/>
    <x v="1"/>
    <x v="0"/>
    <s v="no"/>
    <n v="20"/>
    <s v="T4"/>
    <n v="123856"/>
    <n v="61928"/>
    <x v="2"/>
    <n v="61928"/>
    <x v="0"/>
    <x v="1"/>
  </r>
  <r>
    <n v="17646"/>
    <s v="John"/>
    <s v="Smith"/>
    <n v="57"/>
    <n v="30"/>
    <x v="1"/>
    <x v="0"/>
    <x v="2"/>
    <s v="yes"/>
    <n v="40"/>
    <s v="T1"/>
    <n v="84780"/>
    <n v="84780"/>
    <x v="2"/>
    <n v="0"/>
    <x v="1"/>
    <x v="1"/>
  </r>
  <r>
    <n v="15481"/>
    <s v="Glen"/>
    <s v="Harris"/>
    <n v="62"/>
    <n v="39"/>
    <x v="1"/>
    <x v="2"/>
    <x v="5"/>
    <s v="yes"/>
    <n v="20"/>
    <s v="T4"/>
    <n v="124200"/>
    <n v="62100"/>
    <x v="2"/>
    <n v="62100"/>
    <x v="0"/>
    <x v="1"/>
  </r>
  <r>
    <n v="4652"/>
    <s v="Bryan"/>
    <s v="Bowman"/>
    <n v="52"/>
    <n v="5"/>
    <x v="1"/>
    <x v="1"/>
    <x v="2"/>
    <s v="no"/>
    <n v="32"/>
    <s v="T3"/>
    <n v="117648"/>
    <n v="94118.399999999994"/>
    <x v="0"/>
    <n v="23529.600000000006"/>
    <x v="0"/>
    <x v="1"/>
  </r>
  <r>
    <n v="8810"/>
    <s v="Thomas"/>
    <s v="Hanson"/>
    <n v="49"/>
    <n v="30"/>
    <x v="1"/>
    <x v="4"/>
    <x v="1"/>
    <s v="no"/>
    <n v="32"/>
    <s v="T4"/>
    <n v="129138"/>
    <n v="103310.39999999999"/>
    <x v="2"/>
    <n v="25827.600000000006"/>
    <x v="0"/>
    <x v="6"/>
  </r>
  <r>
    <n v="8049"/>
    <s v="Wayne"/>
    <s v="Moore"/>
    <n v="34"/>
    <n v="16"/>
    <x v="1"/>
    <x v="3"/>
    <x v="3"/>
    <s v="no"/>
    <n v="32"/>
    <s v="T1"/>
    <n v="84402"/>
    <n v="67521.600000000006"/>
    <x v="2"/>
    <n v="16880.399999999994"/>
    <x v="0"/>
    <x v="0"/>
  </r>
  <r>
    <n v="2785"/>
    <s v="Melinda"/>
    <s v="Hart"/>
    <n v="46"/>
    <n v="18"/>
    <x v="0"/>
    <x v="3"/>
    <x v="1"/>
    <s v="no"/>
    <n v="40"/>
    <s v="T2"/>
    <n v="95585"/>
    <n v="95585"/>
    <x v="2"/>
    <n v="0"/>
    <x v="1"/>
    <x v="6"/>
  </r>
  <r>
    <n v="11765"/>
    <s v="Donald"/>
    <s v="Compton"/>
    <n v="52"/>
    <n v="19"/>
    <x v="1"/>
    <x v="4"/>
    <x v="4"/>
    <s v="yes"/>
    <n v="20"/>
    <s v="T3"/>
    <n v="105840"/>
    <n v="52920"/>
    <x v="0"/>
    <n v="52920"/>
    <x v="0"/>
    <x v="1"/>
  </r>
  <r>
    <n v="1376"/>
    <s v="Laura"/>
    <s v="Robinson"/>
    <n v="49"/>
    <n v="23"/>
    <x v="0"/>
    <x v="2"/>
    <x v="1"/>
    <s v="no"/>
    <n v="20"/>
    <s v="T3"/>
    <n v="98000"/>
    <n v="49000"/>
    <x v="0"/>
    <n v="49000"/>
    <x v="0"/>
    <x v="6"/>
  </r>
  <r>
    <n v="19964"/>
    <s v="Ruby"/>
    <s v="Sandoval"/>
    <n v="47"/>
    <n v="13"/>
    <x v="0"/>
    <x v="2"/>
    <x v="2"/>
    <s v="no"/>
    <n v="40"/>
    <s v="T3"/>
    <n v="103090"/>
    <n v="103090"/>
    <x v="2"/>
    <n v="0"/>
    <x v="1"/>
    <x v="6"/>
  </r>
  <r>
    <n v="18837"/>
    <s v="Aldonza"/>
    <s v="Abreu"/>
    <n v="29"/>
    <n v="9"/>
    <x v="1"/>
    <x v="3"/>
    <x v="1"/>
    <s v="no"/>
    <n v="20"/>
    <s v="T4"/>
    <n v="124200"/>
    <n v="62100"/>
    <x v="2"/>
    <n v="62100"/>
    <x v="0"/>
    <x v="4"/>
  </r>
  <r>
    <n v="8227"/>
    <s v="Timothy"/>
    <s v="Johnson"/>
    <n v="28"/>
    <n v="0"/>
    <x v="1"/>
    <x v="0"/>
    <x v="0"/>
    <s v="no"/>
    <n v="40"/>
    <s v="T5"/>
    <n v="140796"/>
    <n v="140796"/>
    <x v="2"/>
    <n v="0"/>
    <x v="1"/>
    <x v="4"/>
  </r>
  <r>
    <n v="19969"/>
    <s v="Christopher"/>
    <s v="Fuller"/>
    <n v="45"/>
    <n v="7"/>
    <x v="1"/>
    <x v="2"/>
    <x v="4"/>
    <s v="yes"/>
    <n v="32"/>
    <s v="T5"/>
    <n v="140400"/>
    <n v="112320"/>
    <x v="2"/>
    <n v="28080"/>
    <x v="0"/>
    <x v="2"/>
  </r>
  <r>
    <n v="7903"/>
    <s v="Daniel"/>
    <s v="Green"/>
    <n v="26"/>
    <n v="1"/>
    <x v="1"/>
    <x v="1"/>
    <x v="3"/>
    <s v="no"/>
    <n v="24"/>
    <s v="T1"/>
    <n v="73688"/>
    <n v="44212.800000000003"/>
    <x v="0"/>
    <n v="29475.199999999997"/>
    <x v="0"/>
    <x v="4"/>
  </r>
  <r>
    <n v="922"/>
    <s v="Monique"/>
    <s v="Gardner"/>
    <n v="49"/>
    <n v="31"/>
    <x v="0"/>
    <x v="2"/>
    <x v="3"/>
    <s v="yes"/>
    <n v="32"/>
    <s v="T1"/>
    <n v="68582"/>
    <n v="54865.599999999999"/>
    <x v="2"/>
    <n v="13716.400000000001"/>
    <x v="0"/>
    <x v="6"/>
  </r>
  <r>
    <n v="3013"/>
    <s v="Timothy"/>
    <s v="Matthews"/>
    <n v="53"/>
    <n v="19"/>
    <x v="1"/>
    <x v="4"/>
    <x v="2"/>
    <s v="no"/>
    <n v="40"/>
    <s v="T3"/>
    <n v="122000"/>
    <n v="122000"/>
    <x v="1"/>
    <n v="0"/>
    <x v="1"/>
    <x v="1"/>
  </r>
  <r>
    <n v="21366"/>
    <s v="Bradley"/>
    <s v="Reese"/>
    <n v="46"/>
    <n v="7"/>
    <x v="1"/>
    <x v="0"/>
    <x v="2"/>
    <s v="no"/>
    <n v="40"/>
    <s v="T3"/>
    <n v="106334"/>
    <n v="106334"/>
    <x v="2"/>
    <n v="0"/>
    <x v="1"/>
    <x v="6"/>
  </r>
  <r>
    <n v="19842"/>
    <s v="Kyle"/>
    <s v="Bailey"/>
    <n v="32"/>
    <n v="13"/>
    <x v="1"/>
    <x v="1"/>
    <x v="0"/>
    <s v="no"/>
    <n v="20"/>
    <s v="T3"/>
    <n v="112109"/>
    <n v="56054.5"/>
    <x v="1"/>
    <n v="56054.5"/>
    <x v="0"/>
    <x v="0"/>
  </r>
  <r>
    <n v="2616"/>
    <s v="Gregory"/>
    <s v="Paul"/>
    <n v="40"/>
    <n v="5"/>
    <x v="1"/>
    <x v="4"/>
    <x v="0"/>
    <s v="yes"/>
    <n v="32"/>
    <s v="T3"/>
    <n v="114243"/>
    <n v="91394.4"/>
    <x v="0"/>
    <n v="22848.600000000006"/>
    <x v="0"/>
    <x v="3"/>
  </r>
  <r>
    <n v="8188"/>
    <s v="José Carlos"/>
    <s v="Luevano"/>
    <n v="49"/>
    <n v="20"/>
    <x v="1"/>
    <x v="0"/>
    <x v="1"/>
    <s v="no"/>
    <n v="40"/>
    <s v="T2"/>
    <n v="99617"/>
    <n v="99617"/>
    <x v="1"/>
    <n v="0"/>
    <x v="1"/>
    <x v="6"/>
  </r>
  <r>
    <n v="2895"/>
    <s v="Timothy"/>
    <s v="Hays"/>
    <n v="30"/>
    <n v="10"/>
    <x v="1"/>
    <x v="1"/>
    <x v="1"/>
    <s v="no"/>
    <n v="40"/>
    <s v="T3"/>
    <n v="108752"/>
    <n v="108752"/>
    <x v="2"/>
    <n v="0"/>
    <x v="1"/>
    <x v="4"/>
  </r>
  <r>
    <n v="1716"/>
    <s v="Cody"/>
    <s v="Shepherd"/>
    <n v="43"/>
    <n v="10"/>
    <x v="1"/>
    <x v="0"/>
    <x v="1"/>
    <s v="no"/>
    <n v="20"/>
    <s v="T2"/>
    <n v="107000"/>
    <n v="53500"/>
    <x v="1"/>
    <n v="53500"/>
    <x v="0"/>
    <x v="2"/>
  </r>
  <r>
    <n v="19272"/>
    <s v="Pamela"/>
    <s v="Badillo"/>
    <n v="40"/>
    <n v="19"/>
    <x v="0"/>
    <x v="3"/>
    <x v="0"/>
    <s v="no"/>
    <n v="20"/>
    <s v="T3"/>
    <n v="106129"/>
    <n v="53064.5"/>
    <x v="2"/>
    <n v="53064.5"/>
    <x v="0"/>
    <x v="3"/>
  </r>
  <r>
    <n v="11514"/>
    <s v="Charles"/>
    <s v="Noble"/>
    <n v="28"/>
    <n v="3"/>
    <x v="1"/>
    <x v="1"/>
    <x v="2"/>
    <s v="no"/>
    <n v="40"/>
    <s v="T3"/>
    <n v="122000"/>
    <n v="122000"/>
    <x v="1"/>
    <n v="0"/>
    <x v="1"/>
    <x v="4"/>
  </r>
  <r>
    <n v="3008"/>
    <s v="Joy"/>
    <s v="Roman"/>
    <n v="52"/>
    <n v="24"/>
    <x v="0"/>
    <x v="0"/>
    <x v="2"/>
    <s v="no"/>
    <n v="40"/>
    <s v="T1"/>
    <n v="80011"/>
    <n v="80011"/>
    <x v="2"/>
    <n v="0"/>
    <x v="1"/>
    <x v="1"/>
  </r>
  <r>
    <n v="17534"/>
    <s v="Andrew"/>
    <s v="Mason"/>
    <n v="51"/>
    <n v="2"/>
    <x v="1"/>
    <x v="1"/>
    <x v="4"/>
    <s v="yes"/>
    <n v="32"/>
    <s v="T5"/>
    <n v="140400"/>
    <n v="112320"/>
    <x v="2"/>
    <n v="28080"/>
    <x v="0"/>
    <x v="1"/>
  </r>
  <r>
    <n v="8485"/>
    <s v="Christopher"/>
    <s v="Wade"/>
    <n v="54"/>
    <n v="25"/>
    <x v="1"/>
    <x v="3"/>
    <x v="2"/>
    <s v="no"/>
    <n v="40"/>
    <s v="T3"/>
    <n v="106943"/>
    <n v="133678.75"/>
    <x v="1"/>
    <n v="-26735.75"/>
    <x v="2"/>
    <x v="1"/>
  </r>
  <r>
    <n v="9812"/>
    <s v="Tracy"/>
    <s v="Reynolds"/>
    <n v="27"/>
    <n v="8"/>
    <x v="0"/>
    <x v="1"/>
    <x v="1"/>
    <s v="no"/>
    <n v="40"/>
    <s v="T2"/>
    <n v="90887"/>
    <n v="90887"/>
    <x v="1"/>
    <n v="0"/>
    <x v="1"/>
    <x v="4"/>
  </r>
  <r>
    <n v="22608"/>
    <s v="Marissa"/>
    <s v="West"/>
    <n v="52"/>
    <n v="6"/>
    <x v="0"/>
    <x v="4"/>
    <x v="2"/>
    <s v="no"/>
    <n v="40"/>
    <s v="T2"/>
    <n v="85000"/>
    <n v="85000"/>
    <x v="2"/>
    <n v="0"/>
    <x v="1"/>
    <x v="1"/>
  </r>
  <r>
    <n v="16593"/>
    <s v="Caroline"/>
    <s v="Daniels"/>
    <n v="25"/>
    <n v="5"/>
    <x v="0"/>
    <x v="4"/>
    <x v="4"/>
    <s v="no"/>
    <n v="32"/>
    <s v="T5"/>
    <n v="130000"/>
    <n v="104000"/>
    <x v="0"/>
    <n v="26000"/>
    <x v="0"/>
    <x v="4"/>
  </r>
  <r>
    <n v="7707"/>
    <s v="William"/>
    <s v="Davis"/>
    <n v="52"/>
    <n v="5"/>
    <x v="1"/>
    <x v="0"/>
    <x v="6"/>
    <s v="no"/>
    <n v="40"/>
    <s v="T2"/>
    <n v="107000"/>
    <n v="107000"/>
    <x v="2"/>
    <n v="0"/>
    <x v="1"/>
    <x v="1"/>
  </r>
  <r>
    <n v="18356"/>
    <s v="Angela"/>
    <s v="Brown"/>
    <n v="32"/>
    <n v="7"/>
    <x v="0"/>
    <x v="1"/>
    <x v="2"/>
    <s v="no"/>
    <n v="32"/>
    <s v="T1"/>
    <n v="68449"/>
    <n v="54759.199999999997"/>
    <x v="0"/>
    <n v="13689.800000000003"/>
    <x v="0"/>
    <x v="0"/>
  </r>
  <r>
    <n v="5022"/>
    <s v="Hannah"/>
    <s v="Wood"/>
    <n v="39"/>
    <n v="16"/>
    <x v="0"/>
    <x v="2"/>
    <x v="2"/>
    <s v="yes"/>
    <n v="24"/>
    <s v="T1"/>
    <n v="68000"/>
    <n v="40800"/>
    <x v="1"/>
    <n v="27200"/>
    <x v="0"/>
    <x v="3"/>
  </r>
  <r>
    <n v="19398"/>
    <s v="Dean"/>
    <s v="Burke"/>
    <n v="41"/>
    <n v="19"/>
    <x v="1"/>
    <x v="1"/>
    <x v="2"/>
    <s v="no"/>
    <n v="40"/>
    <s v="T3"/>
    <n v="122000"/>
    <n v="122000"/>
    <x v="2"/>
    <n v="0"/>
    <x v="1"/>
    <x v="2"/>
  </r>
  <r>
    <n v="19568"/>
    <s v="Jennifer"/>
    <s v="Mendez"/>
    <n v="60"/>
    <n v="32"/>
    <x v="0"/>
    <x v="2"/>
    <x v="2"/>
    <s v="no"/>
    <n v="40"/>
    <s v="T3"/>
    <n v="108428"/>
    <n v="108428"/>
    <x v="2"/>
    <n v="0"/>
    <x v="1"/>
    <x v="1"/>
  </r>
  <r>
    <n v="16175"/>
    <s v="Rachel"/>
    <s v="Humphrey"/>
    <n v="56"/>
    <n v="34"/>
    <x v="0"/>
    <x v="3"/>
    <x v="3"/>
    <s v="no"/>
    <n v="20"/>
    <s v="T1"/>
    <n v="68000"/>
    <n v="34000"/>
    <x v="2"/>
    <n v="34000"/>
    <x v="0"/>
    <x v="1"/>
  </r>
  <r>
    <n v="8649"/>
    <s v="Frank"/>
    <s v="King"/>
    <n v="23"/>
    <n v="4"/>
    <x v="1"/>
    <x v="4"/>
    <x v="1"/>
    <s v="no"/>
    <n v="40"/>
    <s v="T4"/>
    <n v="138000"/>
    <n v="138000"/>
    <x v="2"/>
    <n v="0"/>
    <x v="1"/>
    <x v="5"/>
  </r>
  <r>
    <n v="16185"/>
    <s v="Erika"/>
    <s v="Gonzales"/>
    <n v="40"/>
    <n v="20"/>
    <x v="0"/>
    <x v="4"/>
    <x v="6"/>
    <s v="no"/>
    <n v="24"/>
    <s v="T2"/>
    <n v="85000"/>
    <n v="51000"/>
    <x v="0"/>
    <n v="34000"/>
    <x v="0"/>
    <x v="3"/>
  </r>
  <r>
    <n v="14025"/>
    <s v="Martin"/>
    <s v="Wells"/>
    <n v="38"/>
    <n v="10"/>
    <x v="1"/>
    <x v="2"/>
    <x v="3"/>
    <s v="no"/>
    <n v="32"/>
    <s v="T4"/>
    <n v="131486"/>
    <n v="105188.8"/>
    <x v="1"/>
    <n v="26297.199999999997"/>
    <x v="0"/>
    <x v="3"/>
  </r>
  <r>
    <n v="21286"/>
    <s v="Laura"/>
    <s v="Cox"/>
    <n v="35"/>
    <n v="11"/>
    <x v="0"/>
    <x v="0"/>
    <x v="0"/>
    <s v="no"/>
    <n v="20"/>
    <s v="T3"/>
    <n v="107354"/>
    <n v="53677"/>
    <x v="2"/>
    <n v="53677"/>
    <x v="0"/>
    <x v="0"/>
  </r>
  <r>
    <n v="6926"/>
    <s v="David"/>
    <s v="Phillips"/>
    <n v="46"/>
    <n v="28"/>
    <x v="1"/>
    <x v="1"/>
    <x v="1"/>
    <s v="yes"/>
    <n v="32"/>
    <s v="T4"/>
    <n v="124200"/>
    <n v="99360"/>
    <x v="0"/>
    <n v="24840"/>
    <x v="0"/>
    <x v="6"/>
  </r>
  <r>
    <n v="3777"/>
    <s v="Angela"/>
    <s v="Wilson"/>
    <n v="39"/>
    <n v="19"/>
    <x v="0"/>
    <x v="2"/>
    <x v="3"/>
    <s v="no"/>
    <n v="40"/>
    <s v="T4"/>
    <n v="115000"/>
    <n v="115000"/>
    <x v="2"/>
    <n v="0"/>
    <x v="1"/>
    <x v="3"/>
  </r>
  <r>
    <n v="3863"/>
    <s v="Pilar"/>
    <s v="Colunga"/>
    <n v="23"/>
    <n v="2"/>
    <x v="1"/>
    <x v="2"/>
    <x v="3"/>
    <s v="no"/>
    <n v="40"/>
    <s v="T2"/>
    <n v="100443"/>
    <n v="100443"/>
    <x v="1"/>
    <n v="0"/>
    <x v="1"/>
    <x v="5"/>
  </r>
  <r>
    <n v="22280"/>
    <s v="Cristian"/>
    <s v="Amador"/>
    <n v="50"/>
    <n v="27"/>
    <x v="1"/>
    <x v="0"/>
    <x v="4"/>
    <s v="yes"/>
    <n v="40"/>
    <s v="T5"/>
    <n v="153810"/>
    <n v="153810"/>
    <x v="2"/>
    <n v="0"/>
    <x v="1"/>
    <x v="1"/>
  </r>
  <r>
    <n v="14811"/>
    <s v="Denise"/>
    <s v="Cruz"/>
    <n v="64"/>
    <n v="8"/>
    <x v="0"/>
    <x v="4"/>
    <x v="0"/>
    <s v="yes"/>
    <n v="24"/>
    <s v="T3"/>
    <n v="98000"/>
    <n v="58800"/>
    <x v="0"/>
    <n v="39200"/>
    <x v="0"/>
    <x v="1"/>
  </r>
  <r>
    <n v="12296"/>
    <s v="Donald"/>
    <s v="Waters"/>
    <n v="36"/>
    <n v="18"/>
    <x v="1"/>
    <x v="0"/>
    <x v="4"/>
    <s v="no"/>
    <n v="40"/>
    <s v="T4"/>
    <n v="127620"/>
    <n v="127620"/>
    <x v="0"/>
    <n v="0"/>
    <x v="1"/>
    <x v="3"/>
  </r>
  <r>
    <n v="14566"/>
    <s v="William"/>
    <s v="Wilson"/>
    <n v="43"/>
    <n v="12"/>
    <x v="1"/>
    <x v="0"/>
    <x v="2"/>
    <s v="no"/>
    <n v="40"/>
    <s v="T1"/>
    <n v="75079"/>
    <n v="75079"/>
    <x v="0"/>
    <n v="0"/>
    <x v="1"/>
    <x v="2"/>
  </r>
  <r>
    <n v="14157"/>
    <s v="Melinda"/>
    <s v="Lopez"/>
    <n v="59"/>
    <n v="18"/>
    <x v="0"/>
    <x v="0"/>
    <x v="3"/>
    <s v="no"/>
    <n v="40"/>
    <s v="T1"/>
    <n v="68000"/>
    <n v="68000"/>
    <x v="0"/>
    <n v="0"/>
    <x v="1"/>
    <x v="1"/>
  </r>
  <r>
    <n v="15990"/>
    <s v="Angela"/>
    <s v="Taylor"/>
    <n v="58"/>
    <n v="5"/>
    <x v="0"/>
    <x v="1"/>
    <x v="3"/>
    <s v="no"/>
    <n v="32"/>
    <s v="T3"/>
    <n v="98000"/>
    <n v="78400"/>
    <x v="0"/>
    <n v="19600"/>
    <x v="0"/>
    <x v="1"/>
  </r>
  <r>
    <n v="2462"/>
    <s v="Elvia"/>
    <s v="Montaño"/>
    <n v="26"/>
    <n v="2"/>
    <x v="0"/>
    <x v="4"/>
    <x v="2"/>
    <s v="no"/>
    <n v="20"/>
    <s v="T2"/>
    <n v="85000"/>
    <n v="42500"/>
    <x v="2"/>
    <n v="42500"/>
    <x v="0"/>
    <x v="4"/>
  </r>
  <r>
    <n v="22099"/>
    <s v="Maximiliano"/>
    <s v="Soto"/>
    <n v="59"/>
    <n v="27"/>
    <x v="1"/>
    <x v="3"/>
    <x v="2"/>
    <s v="no"/>
    <n v="40"/>
    <s v="T3"/>
    <n v="114544"/>
    <n v="114544"/>
    <x v="1"/>
    <n v="0"/>
    <x v="1"/>
    <x v="1"/>
  </r>
  <r>
    <n v="21861"/>
    <s v="Gerónimo"/>
    <s v="Cano"/>
    <n v="30"/>
    <n v="5"/>
    <x v="1"/>
    <x v="0"/>
    <x v="1"/>
    <s v="no"/>
    <n v="20"/>
    <s v="T3"/>
    <n v="108320"/>
    <n v="54160"/>
    <x v="2"/>
    <n v="54160"/>
    <x v="0"/>
    <x v="4"/>
  </r>
  <r>
    <n v="3911"/>
    <s v="Shannon"/>
    <s v="Warner"/>
    <n v="37"/>
    <n v="18"/>
    <x v="0"/>
    <x v="1"/>
    <x v="1"/>
    <s v="no"/>
    <n v="24"/>
    <s v="T5"/>
    <n v="130000"/>
    <n v="78000"/>
    <x v="0"/>
    <n v="52000"/>
    <x v="0"/>
    <x v="3"/>
  </r>
  <r>
    <n v="2673"/>
    <s v="George"/>
    <s v="Flynn"/>
    <n v="31"/>
    <n v="4"/>
    <x v="1"/>
    <x v="3"/>
    <x v="3"/>
    <s v="no"/>
    <n v="40"/>
    <s v="T2"/>
    <n v="93549"/>
    <n v="93549"/>
    <x v="2"/>
    <n v="0"/>
    <x v="1"/>
    <x v="0"/>
  </r>
  <r>
    <n v="13880"/>
    <s v="Amalia"/>
    <s v="Verduzco"/>
    <n v="36"/>
    <n v="3"/>
    <x v="0"/>
    <x v="0"/>
    <x v="3"/>
    <s v="yes"/>
    <n v="32"/>
    <s v="T5"/>
    <n v="130000"/>
    <n v="104000"/>
    <x v="0"/>
    <n v="26000"/>
    <x v="0"/>
    <x v="3"/>
  </r>
  <r>
    <n v="11805"/>
    <s v="Gregory"/>
    <s v="Hernandez"/>
    <n v="35"/>
    <n v="16"/>
    <x v="1"/>
    <x v="1"/>
    <x v="2"/>
    <s v="no"/>
    <n v="40"/>
    <s v="T3"/>
    <n v="118223"/>
    <n v="118223"/>
    <x v="1"/>
    <n v="0"/>
    <x v="1"/>
    <x v="0"/>
  </r>
  <r>
    <n v="4267"/>
    <s v="Maria"/>
    <s v="Gould"/>
    <n v="56"/>
    <n v="7"/>
    <x v="0"/>
    <x v="0"/>
    <x v="1"/>
    <s v="no"/>
    <n v="20"/>
    <s v="T3"/>
    <n v="104930"/>
    <n v="52465"/>
    <x v="2"/>
    <n v="52465"/>
    <x v="0"/>
    <x v="1"/>
  </r>
  <r>
    <n v="8834"/>
    <s v="Jimmy"/>
    <s v="Conner"/>
    <n v="38"/>
    <n v="9"/>
    <x v="1"/>
    <x v="3"/>
    <x v="2"/>
    <s v="no"/>
    <n v="40"/>
    <s v="T2"/>
    <n v="95119"/>
    <n v="95119"/>
    <x v="2"/>
    <n v="0"/>
    <x v="1"/>
    <x v="3"/>
  </r>
  <r>
    <n v="6965"/>
    <s v="David"/>
    <s v="Snyder"/>
    <n v="28"/>
    <n v="5"/>
    <x v="1"/>
    <x v="4"/>
    <x v="3"/>
    <s v="no"/>
    <n v="16"/>
    <s v="T1"/>
    <n v="73440"/>
    <n v="29376"/>
    <x v="0"/>
    <n v="44064"/>
    <x v="0"/>
    <x v="4"/>
  </r>
  <r>
    <n v="6919"/>
    <s v="Rhonda"/>
    <s v="Mcdonald"/>
    <n v="55"/>
    <n v="25"/>
    <x v="0"/>
    <x v="3"/>
    <x v="5"/>
    <s v="yes"/>
    <n v="16"/>
    <s v="T5"/>
    <n v="130000"/>
    <n v="65000"/>
    <x v="0"/>
    <n v="65000"/>
    <x v="0"/>
    <x v="1"/>
  </r>
  <r>
    <n v="18260"/>
    <s v="Kevin"/>
    <s v="Roberts"/>
    <n v="51"/>
    <n v="5"/>
    <x v="1"/>
    <x v="1"/>
    <x v="2"/>
    <s v="no"/>
    <n v="40"/>
    <s v="T3"/>
    <n v="122000"/>
    <n v="122000"/>
    <x v="2"/>
    <n v="0"/>
    <x v="1"/>
    <x v="1"/>
  </r>
  <r>
    <n v="15387"/>
    <s v="Andrea"/>
    <s v="Murillo"/>
    <n v="41"/>
    <n v="23"/>
    <x v="0"/>
    <x v="4"/>
    <x v="2"/>
    <s v="no"/>
    <n v="16"/>
    <s v="T1"/>
    <n v="68000"/>
    <n v="27200"/>
    <x v="0"/>
    <n v="40800"/>
    <x v="0"/>
    <x v="2"/>
  </r>
  <r>
    <n v="5280"/>
    <s v="Lisa"/>
    <s v="Moore"/>
    <n v="59"/>
    <n v="10"/>
    <x v="0"/>
    <x v="3"/>
    <x v="2"/>
    <s v="yes"/>
    <n v="16"/>
    <s v="T1"/>
    <n v="68000"/>
    <n v="27200"/>
    <x v="0"/>
    <n v="40800"/>
    <x v="0"/>
    <x v="1"/>
  </r>
  <r>
    <n v="14511"/>
    <s v="Stephen"/>
    <s v="Martin"/>
    <n v="25"/>
    <n v="0"/>
    <x v="1"/>
    <x v="4"/>
    <x v="1"/>
    <s v="no"/>
    <n v="32"/>
    <s v="T5"/>
    <n v="140400"/>
    <n v="112320"/>
    <x v="2"/>
    <n v="28080"/>
    <x v="0"/>
    <x v="4"/>
  </r>
  <r>
    <n v="6699"/>
    <s v="Kevin"/>
    <s v="Boone"/>
    <n v="34"/>
    <n v="15"/>
    <x v="1"/>
    <x v="3"/>
    <x v="4"/>
    <s v="no"/>
    <n v="8"/>
    <s v="T4"/>
    <n v="124200"/>
    <n v="24840"/>
    <x v="2"/>
    <n v="99360"/>
    <x v="0"/>
    <x v="0"/>
  </r>
  <r>
    <n v="9814"/>
    <s v="Bryan"/>
    <s v="Moreno"/>
    <n v="42"/>
    <n v="6"/>
    <x v="1"/>
    <x v="1"/>
    <x v="0"/>
    <s v="no"/>
    <n v="32"/>
    <s v="T5"/>
    <n v="140400"/>
    <n v="112320"/>
    <x v="2"/>
    <n v="28080"/>
    <x v="0"/>
    <x v="2"/>
  </r>
  <r>
    <n v="15846"/>
    <s v="María del Carmen"/>
    <s v="Enríquez"/>
    <n v="59"/>
    <n v="28"/>
    <x v="1"/>
    <x v="3"/>
    <x v="2"/>
    <s v="no"/>
    <n v="40"/>
    <s v="T3"/>
    <n v="115009"/>
    <n v="115009"/>
    <x v="1"/>
    <n v="0"/>
    <x v="1"/>
    <x v="1"/>
  </r>
  <r>
    <n v="8872"/>
    <s v="Antonia"/>
    <s v="de la Rosa"/>
    <n v="42"/>
    <n v="13"/>
    <x v="0"/>
    <x v="1"/>
    <x v="0"/>
    <s v="no"/>
    <n v="20"/>
    <s v="T5"/>
    <n v="130000"/>
    <n v="65000"/>
    <x v="0"/>
    <n v="65000"/>
    <x v="0"/>
    <x v="2"/>
  </r>
  <r>
    <n v="3157"/>
    <s v="Cassandra"/>
    <s v="Allen"/>
    <n v="44"/>
    <n v="17"/>
    <x v="0"/>
    <x v="1"/>
    <x v="0"/>
    <s v="no"/>
    <n v="20"/>
    <s v="T4"/>
    <n v="115000"/>
    <n v="57500"/>
    <x v="0"/>
    <n v="57500"/>
    <x v="0"/>
    <x v="2"/>
  </r>
  <r>
    <n v="15207"/>
    <s v="Billy"/>
    <s v="Lopez"/>
    <n v="36"/>
    <n v="8"/>
    <x v="1"/>
    <x v="3"/>
    <x v="2"/>
    <s v="no"/>
    <n v="40"/>
    <s v="T3"/>
    <n v="122000"/>
    <n v="122000"/>
    <x v="1"/>
    <n v="0"/>
    <x v="1"/>
    <x v="3"/>
  </r>
  <r>
    <n v="18720"/>
    <s v="Rosalia"/>
    <s v="Pantoja"/>
    <n v="58"/>
    <n v="35"/>
    <x v="1"/>
    <x v="0"/>
    <x v="1"/>
    <s v="no"/>
    <n v="40"/>
    <s v="T4"/>
    <n v="138000"/>
    <n v="138000"/>
    <x v="2"/>
    <n v="0"/>
    <x v="1"/>
    <x v="1"/>
  </r>
  <r>
    <n v="3895"/>
    <s v="Roberto"/>
    <s v="Hoffmann"/>
    <n v="42"/>
    <n v="1"/>
    <x v="1"/>
    <x v="1"/>
    <x v="0"/>
    <s v="no"/>
    <n v="20"/>
    <s v="T3"/>
    <n v="122000"/>
    <n v="61000"/>
    <x v="2"/>
    <n v="61000"/>
    <x v="0"/>
    <x v="2"/>
  </r>
  <r>
    <n v="2344"/>
    <s v="Maria"/>
    <s v="Holloway"/>
    <n v="60"/>
    <n v="13"/>
    <x v="0"/>
    <x v="2"/>
    <x v="0"/>
    <s v="no"/>
    <n v="20"/>
    <s v="T4"/>
    <n v="119751"/>
    <n v="59875.5"/>
    <x v="1"/>
    <n v="59875.5"/>
    <x v="0"/>
    <x v="1"/>
  </r>
  <r>
    <n v="22056"/>
    <s v="Rebecca"/>
    <s v="Blevins"/>
    <n v="32"/>
    <n v="14"/>
    <x v="0"/>
    <x v="4"/>
    <x v="1"/>
    <s v="no"/>
    <n v="16"/>
    <s v="T4"/>
    <n v="115000"/>
    <n v="46000"/>
    <x v="2"/>
    <n v="69000"/>
    <x v="0"/>
    <x v="0"/>
  </r>
  <r>
    <n v="18400"/>
    <s v="Ashley"/>
    <s v="Parkin"/>
    <n v="26"/>
    <n v="8"/>
    <x v="1"/>
    <x v="0"/>
    <x v="3"/>
    <s v="no"/>
    <n v="40"/>
    <s v="T3"/>
    <n v="112648"/>
    <n v="112648"/>
    <x v="2"/>
    <n v="0"/>
    <x v="1"/>
    <x v="4"/>
  </r>
  <r>
    <n v="1170"/>
    <s v="Debbie"/>
    <s v="Cox"/>
    <n v="44"/>
    <n v="18"/>
    <x v="0"/>
    <x v="0"/>
    <x v="1"/>
    <s v="no"/>
    <n v="40"/>
    <s v="T4"/>
    <n v="125930"/>
    <n v="125930"/>
    <x v="1"/>
    <n v="0"/>
    <x v="1"/>
    <x v="2"/>
  </r>
  <r>
    <n v="3743"/>
    <s v="Nayeli"/>
    <s v="Hurtado"/>
    <n v="51"/>
    <n v="23"/>
    <x v="0"/>
    <x v="3"/>
    <x v="2"/>
    <s v="yes"/>
    <n v="24"/>
    <s v="T1"/>
    <n v="68000"/>
    <n v="40800"/>
    <x v="0"/>
    <n v="27200"/>
    <x v="0"/>
    <x v="1"/>
  </r>
  <r>
    <n v="8432"/>
    <s v="Cory"/>
    <s v="Sosa"/>
    <n v="25"/>
    <n v="3"/>
    <x v="1"/>
    <x v="0"/>
    <x v="3"/>
    <s v="no"/>
    <n v="40"/>
    <s v="T1"/>
    <n v="84236"/>
    <n v="84236"/>
    <x v="2"/>
    <n v="0"/>
    <x v="1"/>
    <x v="4"/>
  </r>
  <r>
    <n v="6136"/>
    <s v="Eddie"/>
    <s v="Mcclure"/>
    <n v="35"/>
    <n v="0"/>
    <x v="1"/>
    <x v="1"/>
    <x v="2"/>
    <s v="no"/>
    <n v="40"/>
    <s v="T2"/>
    <n v="106153"/>
    <n v="106153"/>
    <x v="1"/>
    <n v="0"/>
    <x v="1"/>
    <x v="0"/>
  </r>
  <r>
    <n v="14004"/>
    <s v="Helena"/>
    <s v="Suárez"/>
    <n v="49"/>
    <n v="26"/>
    <x v="1"/>
    <x v="3"/>
    <x v="1"/>
    <s v="no"/>
    <n v="20"/>
    <s v="T3"/>
    <n v="105840"/>
    <n v="52920"/>
    <x v="0"/>
    <n v="52920"/>
    <x v="0"/>
    <x v="6"/>
  </r>
  <r>
    <n v="16600"/>
    <s v="Samuel"/>
    <s v="Pace"/>
    <n v="39"/>
    <n v="19"/>
    <x v="1"/>
    <x v="1"/>
    <x v="0"/>
    <s v="no"/>
    <n v="20"/>
    <s v="T3"/>
    <n v="122000"/>
    <n v="61000"/>
    <x v="1"/>
    <n v="61000"/>
    <x v="0"/>
    <x v="3"/>
  </r>
  <r>
    <n v="16460"/>
    <s v="Makayla"/>
    <s v="Bradshaw"/>
    <n v="45"/>
    <n v="7"/>
    <x v="0"/>
    <x v="2"/>
    <x v="1"/>
    <s v="yes"/>
    <n v="16"/>
    <s v="T5"/>
    <n v="130000"/>
    <n v="52000"/>
    <x v="2"/>
    <n v="78000"/>
    <x v="0"/>
    <x v="2"/>
  </r>
  <r>
    <n v="7691"/>
    <s v="Joseph"/>
    <s v="Dean"/>
    <n v="43"/>
    <n v="3"/>
    <x v="1"/>
    <x v="1"/>
    <x v="1"/>
    <s v="no"/>
    <n v="40"/>
    <s v="T3"/>
    <n v="106651"/>
    <n v="106651"/>
    <x v="1"/>
    <n v="0"/>
    <x v="1"/>
    <x v="2"/>
  </r>
  <r>
    <n v="13828"/>
    <s v="Antonio"/>
    <s v="Richardson"/>
    <n v="30"/>
    <n v="8"/>
    <x v="1"/>
    <x v="4"/>
    <x v="1"/>
    <s v="no"/>
    <n v="16"/>
    <s v="T3"/>
    <n v="105840"/>
    <n v="42336"/>
    <x v="2"/>
    <n v="63504"/>
    <x v="0"/>
    <x v="4"/>
  </r>
  <r>
    <n v="2608"/>
    <s v="Иларион"/>
    <s v="Стрелков"/>
    <n v="41"/>
    <n v="15"/>
    <x v="1"/>
    <x v="1"/>
    <x v="3"/>
    <s v="yes"/>
    <n v="16"/>
    <s v="T1"/>
    <n v="80094"/>
    <n v="32037.599999999999"/>
    <x v="2"/>
    <n v="48056.4"/>
    <x v="0"/>
    <x v="2"/>
  </r>
  <r>
    <n v="6081"/>
    <s v="Teodoro"/>
    <s v="Ornelas"/>
    <n v="47"/>
    <n v="2"/>
    <x v="0"/>
    <x v="3"/>
    <x v="2"/>
    <s v="no"/>
    <n v="40"/>
    <s v="T2"/>
    <n v="96779"/>
    <n v="96779"/>
    <x v="2"/>
    <n v="0"/>
    <x v="1"/>
    <x v="6"/>
  </r>
  <r>
    <n v="13105"/>
    <s v="Diana"/>
    <s v="Arriaga"/>
    <n v="54"/>
    <n v="29"/>
    <x v="0"/>
    <x v="3"/>
    <x v="2"/>
    <s v="no"/>
    <n v="40"/>
    <s v="T2"/>
    <n v="91254"/>
    <n v="91254"/>
    <x v="2"/>
    <n v="0"/>
    <x v="1"/>
    <x v="1"/>
  </r>
  <r>
    <n v="757"/>
    <s v="Silvano"/>
    <s v="Rodríguez"/>
    <n v="51"/>
    <n v="7"/>
    <x v="0"/>
    <x v="1"/>
    <x v="3"/>
    <s v="no"/>
    <n v="32"/>
    <s v="T3"/>
    <n v="98000"/>
    <n v="78400"/>
    <x v="0"/>
    <n v="19600"/>
    <x v="0"/>
    <x v="1"/>
  </r>
  <r>
    <n v="13480"/>
    <s v="Eric"/>
    <s v="Thompson"/>
    <n v="45"/>
    <n v="0"/>
    <x v="1"/>
    <x v="0"/>
    <x v="3"/>
    <s v="no"/>
    <n v="40"/>
    <s v="T1"/>
    <n v="77220"/>
    <n v="77220"/>
    <x v="2"/>
    <n v="0"/>
    <x v="1"/>
    <x v="2"/>
  </r>
  <r>
    <n v="9377"/>
    <s v="Linda"/>
    <s v="Harrison"/>
    <n v="35"/>
    <n v="14"/>
    <x v="0"/>
    <x v="3"/>
    <x v="1"/>
    <s v="no"/>
    <n v="20"/>
    <s v="T4"/>
    <n v="115000"/>
    <n v="57500"/>
    <x v="0"/>
    <n v="57500"/>
    <x v="0"/>
    <x v="0"/>
  </r>
  <r>
    <n v="15596"/>
    <s v="Jaclyn"/>
    <s v="Dixon"/>
    <n v="52"/>
    <n v="31"/>
    <x v="0"/>
    <x v="2"/>
    <x v="3"/>
    <s v="yes"/>
    <n v="20"/>
    <s v="T1"/>
    <n v="68688"/>
    <n v="34344"/>
    <x v="2"/>
    <n v="34344"/>
    <x v="0"/>
    <x v="1"/>
  </r>
  <r>
    <n v="10034"/>
    <s v="Melissa"/>
    <s v="Burton"/>
    <n v="50"/>
    <n v="29"/>
    <x v="0"/>
    <x v="4"/>
    <x v="1"/>
    <s v="no"/>
    <n v="40"/>
    <s v="T3"/>
    <n v="105130"/>
    <n v="105130"/>
    <x v="2"/>
    <n v="0"/>
    <x v="1"/>
    <x v="1"/>
  </r>
  <r>
    <n v="14548"/>
    <s v="Leah"/>
    <s v="Hughes"/>
    <n v="26"/>
    <n v="2"/>
    <x v="0"/>
    <x v="3"/>
    <x v="1"/>
    <s v="no"/>
    <n v="16"/>
    <s v="T2"/>
    <n v="85000"/>
    <n v="34000"/>
    <x v="2"/>
    <n v="51000"/>
    <x v="0"/>
    <x v="4"/>
  </r>
  <r>
    <n v="18898"/>
    <s v="Nancy"/>
    <s v="Wilson"/>
    <n v="34"/>
    <n v="5"/>
    <x v="0"/>
    <x v="3"/>
    <x v="2"/>
    <s v="no"/>
    <n v="32"/>
    <s v="T2"/>
    <n v="85000"/>
    <n v="68000"/>
    <x v="0"/>
    <n v="17000"/>
    <x v="0"/>
    <x v="0"/>
  </r>
  <r>
    <n v="22375"/>
    <s v="María"/>
    <s v="Oquendo"/>
    <n v="42"/>
    <n v="22"/>
    <x v="0"/>
    <x v="3"/>
    <x v="0"/>
    <s v="no"/>
    <n v="24"/>
    <s v="T5"/>
    <n v="130000"/>
    <n v="78000"/>
    <x v="0"/>
    <n v="52000"/>
    <x v="0"/>
    <x v="2"/>
  </r>
  <r>
    <n v="16634"/>
    <s v="Margarita"/>
    <s v="del Río"/>
    <n v="51"/>
    <n v="18"/>
    <x v="0"/>
    <x v="1"/>
    <x v="3"/>
    <s v="no"/>
    <n v="24"/>
    <s v="T1"/>
    <n v="68000"/>
    <n v="40800"/>
    <x v="1"/>
    <n v="27200"/>
    <x v="0"/>
    <x v="1"/>
  </r>
  <r>
    <n v="5759"/>
    <s v="Amy"/>
    <s v="Jones"/>
    <n v="57"/>
    <n v="30"/>
    <x v="0"/>
    <x v="2"/>
    <x v="3"/>
    <s v="no"/>
    <n v="8"/>
    <s v="T1"/>
    <n v="68000"/>
    <n v="13600"/>
    <x v="2"/>
    <n v="54400"/>
    <x v="0"/>
    <x v="1"/>
  </r>
  <r>
    <n v="6909"/>
    <s v="Crystal"/>
    <s v="Anderson"/>
    <n v="39"/>
    <n v="10"/>
    <x v="0"/>
    <x v="4"/>
    <x v="1"/>
    <s v="no"/>
    <n v="20"/>
    <s v="T3"/>
    <n v="98000"/>
    <n v="49000"/>
    <x v="0"/>
    <n v="49000"/>
    <x v="0"/>
    <x v="3"/>
  </r>
  <r>
    <n v="10409"/>
    <s v="Marcus"/>
    <s v="Burke"/>
    <n v="42"/>
    <n v="19"/>
    <x v="1"/>
    <x v="2"/>
    <x v="3"/>
    <s v="no"/>
    <n v="20"/>
    <s v="T4"/>
    <n v="124200"/>
    <n v="62100"/>
    <x v="0"/>
    <n v="62100"/>
    <x v="0"/>
    <x v="2"/>
  </r>
  <r>
    <n v="7820"/>
    <s v="Hannah"/>
    <s v="Murphy"/>
    <n v="45"/>
    <n v="14"/>
    <x v="0"/>
    <x v="1"/>
    <x v="5"/>
    <s v="yes"/>
    <n v="24"/>
    <s v="T4"/>
    <n v="115000"/>
    <n v="69000"/>
    <x v="1"/>
    <n v="46000"/>
    <x v="0"/>
    <x v="2"/>
  </r>
  <r>
    <n v="2603"/>
    <s v="John"/>
    <s v="Carter"/>
    <n v="35"/>
    <n v="14"/>
    <x v="1"/>
    <x v="1"/>
    <x v="6"/>
    <s v="no"/>
    <n v="32"/>
    <s v="T3"/>
    <n v="105840"/>
    <n v="84672"/>
    <x v="0"/>
    <n v="21168"/>
    <x v="0"/>
    <x v="0"/>
  </r>
  <r>
    <n v="19665"/>
    <s v="Andrew"/>
    <s v="Myers"/>
    <n v="46"/>
    <n v="3"/>
    <x v="1"/>
    <x v="2"/>
    <x v="4"/>
    <s v="yes"/>
    <n v="20"/>
    <s v="T3"/>
    <n v="105840"/>
    <n v="52920"/>
    <x v="0"/>
    <n v="52920"/>
    <x v="0"/>
    <x v="6"/>
  </r>
  <r>
    <n v="18453"/>
    <s v="John"/>
    <s v="Munoz"/>
    <n v="48"/>
    <n v="15"/>
    <x v="1"/>
    <x v="4"/>
    <x v="1"/>
    <s v="no"/>
    <n v="40"/>
    <s v="T3"/>
    <n v="122000"/>
    <n v="122000"/>
    <x v="1"/>
    <n v="0"/>
    <x v="1"/>
    <x v="6"/>
  </r>
  <r>
    <n v="2684"/>
    <s v="Armando"/>
    <s v="Nieto"/>
    <n v="39"/>
    <n v="17"/>
    <x v="1"/>
    <x v="4"/>
    <x v="3"/>
    <s v="no"/>
    <n v="40"/>
    <s v="T2"/>
    <n v="107000"/>
    <n v="107000"/>
    <x v="2"/>
    <n v="0"/>
    <x v="1"/>
    <x v="3"/>
  </r>
  <r>
    <n v="10963"/>
    <s v="Jon"/>
    <s v="Flores"/>
    <n v="37"/>
    <n v="18"/>
    <x v="1"/>
    <x v="1"/>
    <x v="1"/>
    <s v="no"/>
    <n v="40"/>
    <s v="T4"/>
    <n v="138000"/>
    <n v="138000"/>
    <x v="1"/>
    <n v="0"/>
    <x v="1"/>
    <x v="3"/>
  </r>
  <r>
    <n v="2560"/>
    <s v="Ariadna"/>
    <s v="Melgar"/>
    <n v="28"/>
    <n v="4"/>
    <x v="0"/>
    <x v="2"/>
    <x v="2"/>
    <s v="no"/>
    <n v="40"/>
    <s v="T3"/>
    <n v="112132"/>
    <n v="112132"/>
    <x v="2"/>
    <n v="0"/>
    <x v="1"/>
    <x v="4"/>
  </r>
  <r>
    <n v="2330"/>
    <s v="Anthony"/>
    <s v="Walker"/>
    <n v="35"/>
    <n v="14"/>
    <x v="1"/>
    <x v="1"/>
    <x v="2"/>
    <s v="no"/>
    <n v="40"/>
    <s v="T3"/>
    <n v="122000"/>
    <n v="122000"/>
    <x v="1"/>
    <n v="0"/>
    <x v="1"/>
    <x v="0"/>
  </r>
  <r>
    <n v="19829"/>
    <s v="Adam"/>
    <s v="Martin"/>
    <n v="56"/>
    <n v="19"/>
    <x v="1"/>
    <x v="2"/>
    <x v="0"/>
    <s v="yes"/>
    <n v="32"/>
    <s v="T4"/>
    <n v="125383"/>
    <n v="100306.4"/>
    <x v="2"/>
    <n v="25076.600000000006"/>
    <x v="0"/>
    <x v="1"/>
  </r>
  <r>
    <n v="16310"/>
    <s v="Ashley"/>
    <s v="Coffey"/>
    <n v="37"/>
    <n v="2"/>
    <x v="0"/>
    <x v="3"/>
    <x v="1"/>
    <s v="no"/>
    <n v="20"/>
    <s v="T5"/>
    <n v="130000"/>
    <n v="65000"/>
    <x v="2"/>
    <n v="65000"/>
    <x v="0"/>
    <x v="3"/>
  </r>
  <r>
    <n v="17164"/>
    <s v="Rose"/>
    <s v="Taylor"/>
    <n v="53"/>
    <n v="11"/>
    <x v="0"/>
    <x v="3"/>
    <x v="2"/>
    <s v="no"/>
    <n v="20"/>
    <s v="T2"/>
    <n v="85000"/>
    <n v="42500"/>
    <x v="0"/>
    <n v="42500"/>
    <x v="0"/>
    <x v="1"/>
  </r>
  <r>
    <n v="18090"/>
    <s v="Judy"/>
    <s v="Burns"/>
    <n v="60"/>
    <n v="21"/>
    <x v="0"/>
    <x v="1"/>
    <x v="2"/>
    <s v="yes"/>
    <n v="24"/>
    <s v="T1"/>
    <n v="68000"/>
    <n v="40800"/>
    <x v="0"/>
    <n v="27200"/>
    <x v="0"/>
    <x v="1"/>
  </r>
  <r>
    <n v="5845"/>
    <s v="Justin"/>
    <s v="Adams"/>
    <n v="57"/>
    <n v="6"/>
    <x v="1"/>
    <x v="1"/>
    <x v="6"/>
    <s v="yes"/>
    <n v="16"/>
    <s v="T5"/>
    <n v="140400"/>
    <n v="56160"/>
    <x v="2"/>
    <n v="84240"/>
    <x v="0"/>
    <x v="1"/>
  </r>
  <r>
    <n v="2550"/>
    <s v="Brittany"/>
    <s v="Howard"/>
    <n v="44"/>
    <n v="19"/>
    <x v="0"/>
    <x v="0"/>
    <x v="1"/>
    <s v="no"/>
    <n v="20"/>
    <s v="T4"/>
    <n v="115000"/>
    <n v="57500"/>
    <x v="0"/>
    <n v="57500"/>
    <x v="0"/>
    <x v="2"/>
  </r>
  <r>
    <n v="2550"/>
    <s v="Brittany"/>
    <s v="Howard"/>
    <n v="44"/>
    <n v="19"/>
    <x v="0"/>
    <x v="0"/>
    <x v="0"/>
    <s v="no"/>
    <n v="20"/>
    <s v="T4"/>
    <n v="115000"/>
    <n v="57500"/>
    <x v="0"/>
    <n v="57500"/>
    <x v="0"/>
    <x v="2"/>
  </r>
  <r>
    <n v="16024"/>
    <s v="Desiree"/>
    <s v="Sanchez"/>
    <n v="37"/>
    <n v="10"/>
    <x v="0"/>
    <x v="0"/>
    <x v="1"/>
    <s v="no"/>
    <n v="20"/>
    <s v="T2"/>
    <n v="85000"/>
    <n v="42500"/>
    <x v="2"/>
    <n v="42500"/>
    <x v="0"/>
    <x v="3"/>
  </r>
  <r>
    <n v="17327"/>
    <s v="Jacinto"/>
    <s v="Tejada"/>
    <n v="44"/>
    <n v="23"/>
    <x v="1"/>
    <x v="0"/>
    <x v="2"/>
    <s v="no"/>
    <n v="40"/>
    <s v="T3"/>
    <n v="106383"/>
    <n v="106383"/>
    <x v="2"/>
    <n v="0"/>
    <x v="1"/>
    <x v="2"/>
  </r>
  <r>
    <n v="3312"/>
    <s v="Gail"/>
    <s v="Wilson"/>
    <n v="47"/>
    <n v="21"/>
    <x v="0"/>
    <x v="4"/>
    <x v="2"/>
    <s v="yes"/>
    <n v="24"/>
    <s v="T3"/>
    <n v="98000"/>
    <n v="58800"/>
    <x v="0"/>
    <n v="39200"/>
    <x v="0"/>
    <x v="6"/>
  </r>
  <r>
    <n v="16600"/>
    <s v="Samuel"/>
    <s v="Pace"/>
    <n v="39"/>
    <n v="19"/>
    <x v="1"/>
    <x v="1"/>
    <x v="1"/>
    <s v="no"/>
    <n v="20"/>
    <s v="T3"/>
    <n v="122000"/>
    <n v="61000"/>
    <x v="1"/>
    <n v="61000"/>
    <x v="0"/>
    <x v="3"/>
  </r>
  <r>
    <n v="6776"/>
    <s v="Matthew"/>
    <s v="Chambers"/>
    <n v="26"/>
    <n v="8"/>
    <x v="1"/>
    <x v="4"/>
    <x v="2"/>
    <s v="no"/>
    <n v="40"/>
    <s v="T3"/>
    <n v="122000"/>
    <n v="122000"/>
    <x v="1"/>
    <n v="0"/>
    <x v="1"/>
    <x v="4"/>
  </r>
  <r>
    <n v="2932"/>
    <s v="Jonathon"/>
    <s v="West"/>
    <n v="47"/>
    <n v="17"/>
    <x v="1"/>
    <x v="3"/>
    <x v="1"/>
    <s v="yes"/>
    <n v="8"/>
    <s v="T3"/>
    <n v="115059"/>
    <n v="23011.8"/>
    <x v="0"/>
    <n v="92047.2"/>
    <x v="0"/>
    <x v="6"/>
  </r>
  <r>
    <n v="20185"/>
    <s v="David"/>
    <s v="Meyers"/>
    <n v="40"/>
    <n v="6"/>
    <x v="1"/>
    <x v="1"/>
    <x v="1"/>
    <s v="no"/>
    <n v="32"/>
    <s v="T4"/>
    <n v="129630"/>
    <n v="103704"/>
    <x v="2"/>
    <n v="25926"/>
    <x v="0"/>
    <x v="3"/>
  </r>
  <r>
    <n v="2913"/>
    <s v="Rachel"/>
    <s v="Gomez"/>
    <n v="37"/>
    <n v="0"/>
    <x v="0"/>
    <x v="3"/>
    <x v="1"/>
    <s v="no"/>
    <n v="40"/>
    <s v="T3"/>
    <n v="100461"/>
    <n v="100461"/>
    <x v="1"/>
    <n v="0"/>
    <x v="1"/>
    <x v="3"/>
  </r>
  <r>
    <n v="8394"/>
    <s v="Linda"/>
    <s v="Bernal"/>
    <n v="47"/>
    <n v="26"/>
    <x v="1"/>
    <x v="4"/>
    <x v="2"/>
    <s v="no"/>
    <n v="40"/>
    <s v="T3"/>
    <n v="114086"/>
    <n v="114086"/>
    <x v="2"/>
    <n v="0"/>
    <x v="1"/>
    <x v="6"/>
  </r>
  <r>
    <n v="13917"/>
    <s v="Cameron"/>
    <s v="Clark"/>
    <n v="27"/>
    <n v="1"/>
    <x v="1"/>
    <x v="4"/>
    <x v="3"/>
    <s v="no"/>
    <n v="40"/>
    <s v="T3"/>
    <n v="122000"/>
    <n v="122000"/>
    <x v="1"/>
    <n v="0"/>
    <x v="1"/>
    <x v="4"/>
  </r>
  <r>
    <n v="4615"/>
    <s v="Dean"/>
    <s v="Hamilton"/>
    <n v="45"/>
    <n v="23"/>
    <x v="1"/>
    <x v="0"/>
    <x v="3"/>
    <s v="no"/>
    <n v="40"/>
    <s v="T2"/>
    <n v="107000"/>
    <n v="107000"/>
    <x v="1"/>
    <n v="0"/>
    <x v="1"/>
    <x v="2"/>
  </r>
  <r>
    <n v="19354"/>
    <s v="Renee"/>
    <s v="Ritter"/>
    <n v="35"/>
    <n v="14"/>
    <x v="0"/>
    <x v="3"/>
    <x v="1"/>
    <s v="no"/>
    <n v="40"/>
    <s v="T4"/>
    <n v="115000"/>
    <n v="115000"/>
    <x v="2"/>
    <n v="0"/>
    <x v="1"/>
    <x v="0"/>
  </r>
  <r>
    <n v="8754"/>
    <s v="Jamie"/>
    <s v="Mcguire"/>
    <n v="32"/>
    <n v="2"/>
    <x v="0"/>
    <x v="4"/>
    <x v="2"/>
    <s v="no"/>
    <n v="32"/>
    <s v="T1"/>
    <n v="68000"/>
    <n v="54400"/>
    <x v="0"/>
    <n v="13600"/>
    <x v="0"/>
    <x v="0"/>
  </r>
  <r>
    <n v="19657"/>
    <s v="Beverly"/>
    <s v="Holmes"/>
    <n v="50"/>
    <n v="25"/>
    <x v="0"/>
    <x v="0"/>
    <x v="5"/>
    <s v="yes"/>
    <n v="40"/>
    <s v="T5"/>
    <n v="134657"/>
    <n v="168321.25"/>
    <x v="0"/>
    <n v="-33664.25"/>
    <x v="2"/>
    <x v="1"/>
  </r>
  <r>
    <n v="20168"/>
    <s v="Timothy"/>
    <s v="Nelson"/>
    <n v="46"/>
    <n v="15"/>
    <x v="1"/>
    <x v="0"/>
    <x v="2"/>
    <s v="no"/>
    <n v="40"/>
    <s v="T2"/>
    <n v="107000"/>
    <n v="107000"/>
    <x v="1"/>
    <n v="0"/>
    <x v="1"/>
    <x v="6"/>
  </r>
  <r>
    <n v="1989"/>
    <s v="James"/>
    <s v="Keller"/>
    <n v="61"/>
    <n v="3"/>
    <x v="1"/>
    <x v="3"/>
    <x v="1"/>
    <s v="no"/>
    <n v="20"/>
    <s v="T3"/>
    <n v="105840"/>
    <n v="52920"/>
    <x v="0"/>
    <n v="52920"/>
    <x v="0"/>
    <x v="1"/>
  </r>
  <r>
    <n v="20982"/>
    <s v="Donald"/>
    <s v="Rivera"/>
    <n v="39"/>
    <n v="12"/>
    <x v="1"/>
    <x v="0"/>
    <x v="3"/>
    <s v="no"/>
    <n v="40"/>
    <s v="T4"/>
    <n v="136917"/>
    <n v="136917"/>
    <x v="1"/>
    <n v="0"/>
    <x v="1"/>
    <x v="3"/>
  </r>
  <r>
    <n v="3373"/>
    <s v="Kimberly"/>
    <s v="Franklin"/>
    <n v="35"/>
    <n v="2"/>
    <x v="0"/>
    <x v="2"/>
    <x v="2"/>
    <s v="yes"/>
    <n v="20"/>
    <s v="T1"/>
    <n v="68000"/>
    <n v="34000"/>
    <x v="0"/>
    <n v="34000"/>
    <x v="0"/>
    <x v="0"/>
  </r>
  <r>
    <n v="14424"/>
    <s v="Jordan"/>
    <s v="Hardin"/>
    <n v="33"/>
    <n v="5"/>
    <x v="1"/>
    <x v="1"/>
    <x v="3"/>
    <s v="no"/>
    <n v="40"/>
    <s v="T3"/>
    <n v="122000"/>
    <n v="122000"/>
    <x v="1"/>
    <n v="0"/>
    <x v="1"/>
    <x v="0"/>
  </r>
  <r>
    <n v="22227"/>
    <s v="Stephanie"/>
    <s v="Foster"/>
    <n v="42"/>
    <n v="9"/>
    <x v="0"/>
    <x v="1"/>
    <x v="1"/>
    <s v="no"/>
    <n v="20"/>
    <s v="T3"/>
    <n v="98000"/>
    <n v="49000"/>
    <x v="0"/>
    <n v="49000"/>
    <x v="0"/>
    <x v="2"/>
  </r>
  <r>
    <n v="19812"/>
    <s v="Renee"/>
    <s v="Hodges"/>
    <n v="41"/>
    <n v="16"/>
    <x v="0"/>
    <x v="2"/>
    <x v="6"/>
    <s v="yes"/>
    <n v="8"/>
    <s v="T5"/>
    <n v="130000"/>
    <n v="26000"/>
    <x v="2"/>
    <n v="104000"/>
    <x v="0"/>
    <x v="2"/>
  </r>
  <r>
    <n v="3726"/>
    <s v="Michael"/>
    <s v="Jensen"/>
    <n v="38"/>
    <n v="2"/>
    <x v="1"/>
    <x v="0"/>
    <x v="1"/>
    <s v="no"/>
    <n v="20"/>
    <s v="T3"/>
    <n v="122000"/>
    <n v="61000"/>
    <x v="1"/>
    <n v="61000"/>
    <x v="0"/>
    <x v="3"/>
  </r>
  <r>
    <n v="19208"/>
    <s v="Angela"/>
    <s v="Simmons"/>
    <n v="35"/>
    <n v="14"/>
    <x v="0"/>
    <x v="0"/>
    <x v="3"/>
    <s v="no"/>
    <n v="40"/>
    <s v="T2"/>
    <n v="85750"/>
    <n v="85750"/>
    <x v="0"/>
    <n v="0"/>
    <x v="1"/>
    <x v="0"/>
  </r>
  <r>
    <n v="17817"/>
    <s v="Kimberly"/>
    <s v="Kaufman"/>
    <n v="36"/>
    <n v="13"/>
    <x v="0"/>
    <x v="1"/>
    <x v="2"/>
    <s v="no"/>
    <n v="40"/>
    <s v="T2"/>
    <n v="95739"/>
    <n v="95739"/>
    <x v="2"/>
    <n v="0"/>
    <x v="1"/>
    <x v="3"/>
  </r>
  <r>
    <n v="11053"/>
    <s v="Rosa"/>
    <s v="Estrada"/>
    <n v="38"/>
    <n v="9"/>
    <x v="1"/>
    <x v="2"/>
    <x v="1"/>
    <s v="yes"/>
    <n v="32"/>
    <s v="T2"/>
    <n v="94103"/>
    <n v="75282.399999999994"/>
    <x v="2"/>
    <n v="18820.600000000006"/>
    <x v="0"/>
    <x v="3"/>
  </r>
  <r>
    <n v="9231"/>
    <s v="Max"/>
    <s v="Hopkins"/>
    <n v="50"/>
    <n v="6"/>
    <x v="1"/>
    <x v="3"/>
    <x v="2"/>
    <s v="yes"/>
    <n v="8"/>
    <s v="T1"/>
    <n v="73932"/>
    <n v="14786.4"/>
    <x v="0"/>
    <n v="59145.599999999999"/>
    <x v="0"/>
    <x v="1"/>
  </r>
  <r>
    <n v="7380"/>
    <s v="Lauren"/>
    <s v="Murphy"/>
    <n v="37"/>
    <n v="16"/>
    <x v="0"/>
    <x v="3"/>
    <x v="4"/>
    <s v="no"/>
    <n v="40"/>
    <s v="T5"/>
    <n v="135970"/>
    <n v="135970"/>
    <x v="1"/>
    <n v="0"/>
    <x v="1"/>
    <x v="3"/>
  </r>
  <r>
    <n v="22632"/>
    <s v="Lynn"/>
    <s v="Chase"/>
    <n v="28"/>
    <n v="1"/>
    <x v="0"/>
    <x v="3"/>
    <x v="1"/>
    <s v="no"/>
    <n v="40"/>
    <s v="T3"/>
    <n v="104125"/>
    <n v="104125"/>
    <x v="2"/>
    <n v="0"/>
    <x v="1"/>
    <x v="4"/>
  </r>
  <r>
    <n v="12328"/>
    <s v="James"/>
    <s v="Stafford"/>
    <n v="49"/>
    <n v="5"/>
    <x v="1"/>
    <x v="1"/>
    <x v="1"/>
    <s v="no"/>
    <n v="20"/>
    <s v="T3"/>
    <n v="122000"/>
    <n v="61000"/>
    <x v="1"/>
    <n v="61000"/>
    <x v="0"/>
    <x v="6"/>
  </r>
  <r>
    <n v="3856"/>
    <s v="Jose"/>
    <s v="Franklin"/>
    <n v="34"/>
    <n v="7"/>
    <x v="1"/>
    <x v="1"/>
    <x v="0"/>
    <s v="no"/>
    <n v="20"/>
    <s v="T2"/>
    <n v="106974"/>
    <n v="53487"/>
    <x v="1"/>
    <n v="53487"/>
    <x v="0"/>
    <x v="0"/>
  </r>
  <r>
    <n v="10982"/>
    <s v="Katerina"/>
    <s v="Dörschner"/>
    <n v="38"/>
    <n v="14"/>
    <x v="0"/>
    <x v="3"/>
    <x v="1"/>
    <s v="no"/>
    <n v="20"/>
    <s v="T4"/>
    <n v="115000"/>
    <n v="57500"/>
    <x v="2"/>
    <n v="57500"/>
    <x v="0"/>
    <x v="3"/>
  </r>
  <r>
    <n v="8508"/>
    <s v="Jonás"/>
    <s v="Yáñez"/>
    <n v="32"/>
    <n v="1"/>
    <x v="0"/>
    <x v="4"/>
    <x v="1"/>
    <s v="no"/>
    <n v="32"/>
    <s v="T2"/>
    <n v="85000"/>
    <n v="68000"/>
    <x v="1"/>
    <n v="17000"/>
    <x v="0"/>
    <x v="0"/>
  </r>
  <r>
    <n v="9390"/>
    <s v="Timothy"/>
    <s v="Smith"/>
    <n v="38"/>
    <n v="16"/>
    <x v="1"/>
    <x v="4"/>
    <x v="4"/>
    <s v="yes"/>
    <n v="20"/>
    <s v="T4"/>
    <n v="124200"/>
    <n v="62100"/>
    <x v="2"/>
    <n v="62100"/>
    <x v="0"/>
    <x v="3"/>
  </r>
  <r>
    <n v="13656"/>
    <s v="Travis"/>
    <s v="Mcpherson"/>
    <n v="51"/>
    <n v="8"/>
    <x v="1"/>
    <x v="3"/>
    <x v="5"/>
    <s v="yes"/>
    <n v="8"/>
    <s v="T5"/>
    <n v="140400"/>
    <n v="28080"/>
    <x v="1"/>
    <n v="112320"/>
    <x v="0"/>
    <x v="1"/>
  </r>
  <r>
    <n v="4975"/>
    <s v="Isabel"/>
    <s v="Miller"/>
    <n v="32"/>
    <n v="10"/>
    <x v="0"/>
    <x v="1"/>
    <x v="4"/>
    <s v="no"/>
    <n v="32"/>
    <s v="T4"/>
    <n v="115000"/>
    <n v="92000"/>
    <x v="0"/>
    <n v="23000"/>
    <x v="0"/>
    <x v="0"/>
  </r>
  <r>
    <n v="21838"/>
    <s v="Leslie"/>
    <s v="Baker"/>
    <n v="64"/>
    <n v="31"/>
    <x v="0"/>
    <x v="3"/>
    <x v="1"/>
    <s v="no"/>
    <n v="20"/>
    <s v="T2"/>
    <n v="85000"/>
    <n v="42500"/>
    <x v="0"/>
    <n v="42500"/>
    <x v="0"/>
    <x v="1"/>
  </r>
  <r>
    <n v="10517"/>
    <s v="Emily"/>
    <s v="Warner"/>
    <n v="38"/>
    <n v="6"/>
    <x v="0"/>
    <x v="0"/>
    <x v="2"/>
    <s v="no"/>
    <n v="40"/>
    <s v="T1"/>
    <n v="70974"/>
    <n v="70974"/>
    <x v="0"/>
    <n v="0"/>
    <x v="1"/>
    <x v="3"/>
  </r>
  <r>
    <n v="15669"/>
    <s v="Dalia"/>
    <s v="Montalvo"/>
    <n v="47"/>
    <n v="18"/>
    <x v="1"/>
    <x v="4"/>
    <x v="0"/>
    <s v="no"/>
    <n v="24"/>
    <s v="T4"/>
    <n v="124200"/>
    <n v="74520"/>
    <x v="2"/>
    <n v="49680"/>
    <x v="0"/>
    <x v="6"/>
  </r>
  <r>
    <n v="11047"/>
    <s v="Marilyn"/>
    <s v="Davies"/>
    <n v="47"/>
    <n v="21"/>
    <x v="0"/>
    <x v="1"/>
    <x v="3"/>
    <s v="no"/>
    <n v="40"/>
    <s v="T2"/>
    <n v="85000"/>
    <n v="85000"/>
    <x v="1"/>
    <n v="0"/>
    <x v="1"/>
    <x v="6"/>
  </r>
  <r>
    <n v="3064"/>
    <s v="Jasmine"/>
    <s v="Hunt"/>
    <n v="29"/>
    <n v="2"/>
    <x v="0"/>
    <x v="1"/>
    <x v="2"/>
    <s v="no"/>
    <n v="40"/>
    <s v="T2"/>
    <n v="85000"/>
    <n v="85000"/>
    <x v="2"/>
    <n v="0"/>
    <x v="1"/>
    <x v="4"/>
  </r>
  <r>
    <n v="992"/>
    <s v="Joseph"/>
    <s v="Barnett"/>
    <n v="28"/>
    <n v="5"/>
    <x v="1"/>
    <x v="1"/>
    <x v="2"/>
    <s v="no"/>
    <n v="32"/>
    <s v="T3"/>
    <n v="116913"/>
    <n v="93530.4"/>
    <x v="1"/>
    <n v="23382.600000000006"/>
    <x v="0"/>
    <x v="4"/>
  </r>
  <r>
    <n v="15704"/>
    <s v="Miguel"/>
    <s v="Martínez"/>
    <n v="59"/>
    <n v="2"/>
    <x v="1"/>
    <x v="2"/>
    <x v="4"/>
    <s v="yes"/>
    <n v="16"/>
    <s v="T5"/>
    <n v="140400"/>
    <n v="56160"/>
    <x v="2"/>
    <n v="84240"/>
    <x v="0"/>
    <x v="1"/>
  </r>
  <r>
    <n v="21041"/>
    <s v="Timothy"/>
    <s v="Lane"/>
    <n v="39"/>
    <n v="15"/>
    <x v="1"/>
    <x v="4"/>
    <x v="2"/>
    <s v="no"/>
    <n v="40"/>
    <s v="T2"/>
    <n v="107000"/>
    <n v="107000"/>
    <x v="1"/>
    <n v="0"/>
    <x v="1"/>
    <x v="3"/>
  </r>
  <r>
    <n v="19135"/>
    <s v="Rachel"/>
    <s v="Koch"/>
    <n v="55"/>
    <n v="35"/>
    <x v="0"/>
    <x v="3"/>
    <x v="3"/>
    <s v="yes"/>
    <n v="20"/>
    <s v="T1"/>
    <n v="68000"/>
    <n v="34000"/>
    <x v="0"/>
    <n v="34000"/>
    <x v="0"/>
    <x v="1"/>
  </r>
  <r>
    <n v="3963"/>
    <s v="Larry"/>
    <s v="Small"/>
    <n v="48"/>
    <n v="12"/>
    <x v="1"/>
    <x v="3"/>
    <x v="1"/>
    <s v="no"/>
    <n v="40"/>
    <s v="T2"/>
    <n v="96560"/>
    <n v="96560"/>
    <x v="2"/>
    <n v="0"/>
    <x v="1"/>
    <x v="6"/>
  </r>
  <r>
    <n v="3087"/>
    <s v="Christie"/>
    <s v="Ponce"/>
    <n v="36"/>
    <n v="9"/>
    <x v="0"/>
    <x v="3"/>
    <x v="0"/>
    <s v="no"/>
    <n v="24"/>
    <s v="T2"/>
    <n v="85000"/>
    <n v="51000"/>
    <x v="0"/>
    <n v="34000"/>
    <x v="0"/>
    <x v="3"/>
  </r>
  <r>
    <n v="18304"/>
    <s v="Elizabeth"/>
    <s v="Romero"/>
    <n v="29"/>
    <n v="6"/>
    <x v="0"/>
    <x v="2"/>
    <x v="2"/>
    <s v="no"/>
    <n v="32"/>
    <s v="T3"/>
    <n v="98000"/>
    <n v="78400"/>
    <x v="0"/>
    <n v="19600"/>
    <x v="0"/>
    <x v="4"/>
  </r>
  <r>
    <n v="7671"/>
    <s v="Vincent"/>
    <s v="Johnson"/>
    <n v="32"/>
    <n v="2"/>
    <x v="1"/>
    <x v="2"/>
    <x v="1"/>
    <s v="no"/>
    <n v="20"/>
    <s v="T3"/>
    <n v="105840"/>
    <n v="52920"/>
    <x v="0"/>
    <n v="52920"/>
    <x v="0"/>
    <x v="0"/>
  </r>
  <r>
    <n v="17263"/>
    <s v="Christopher"/>
    <s v="Larson"/>
    <n v="37"/>
    <n v="18"/>
    <x v="1"/>
    <x v="3"/>
    <x v="1"/>
    <s v="no"/>
    <n v="40"/>
    <s v="T2"/>
    <n v="103733"/>
    <n v="103733"/>
    <x v="2"/>
    <n v="0"/>
    <x v="1"/>
    <x v="3"/>
  </r>
  <r>
    <n v="5027"/>
    <s v="Mayte"/>
    <s v="Velázquez"/>
    <n v="37"/>
    <n v="6"/>
    <x v="0"/>
    <x v="4"/>
    <x v="2"/>
    <s v="no"/>
    <n v="16"/>
    <s v="T1"/>
    <n v="68000"/>
    <n v="27200"/>
    <x v="2"/>
    <n v="40800"/>
    <x v="0"/>
    <x v="3"/>
  </r>
  <r>
    <n v="12123"/>
    <s v="Derrick"/>
    <s v="Russo"/>
    <n v="50"/>
    <n v="19"/>
    <x v="1"/>
    <x v="2"/>
    <x v="1"/>
    <s v="no"/>
    <n v="24"/>
    <s v="T4"/>
    <n v="124200"/>
    <n v="74520"/>
    <x v="0"/>
    <n v="49680"/>
    <x v="0"/>
    <x v="1"/>
  </r>
  <r>
    <n v="2941"/>
    <s v="Tammy"/>
    <s v="Fisher"/>
    <n v="48"/>
    <n v="12"/>
    <x v="0"/>
    <x v="0"/>
    <x v="4"/>
    <s v="no"/>
    <n v="40"/>
    <s v="T5"/>
    <n v="141005"/>
    <n v="141005"/>
    <x v="2"/>
    <n v="0"/>
    <x v="1"/>
    <x v="6"/>
  </r>
  <r>
    <n v="1738"/>
    <s v="Joyce"/>
    <s v="Allen"/>
    <n v="33"/>
    <n v="6"/>
    <x v="0"/>
    <x v="3"/>
    <x v="0"/>
    <s v="no"/>
    <n v="20"/>
    <s v="T3"/>
    <n v="103930"/>
    <n v="51965"/>
    <x v="2"/>
    <n v="51965"/>
    <x v="0"/>
    <x v="0"/>
  </r>
  <r>
    <n v="8691"/>
    <s v="Jerry"/>
    <s v="Santana"/>
    <n v="41"/>
    <n v="17"/>
    <x v="1"/>
    <x v="2"/>
    <x v="2"/>
    <s v="no"/>
    <n v="20"/>
    <s v="T1"/>
    <n v="81910"/>
    <n v="40955"/>
    <x v="2"/>
    <n v="40955"/>
    <x v="0"/>
    <x v="2"/>
  </r>
  <r>
    <n v="12795"/>
    <s v="Gerónimo"/>
    <s v="Esquibel"/>
    <n v="33"/>
    <n v="8"/>
    <x v="1"/>
    <x v="2"/>
    <x v="3"/>
    <s v="no"/>
    <n v="16"/>
    <s v="T1"/>
    <n v="73440"/>
    <n v="29376"/>
    <x v="0"/>
    <n v="44064"/>
    <x v="0"/>
    <x v="0"/>
  </r>
  <r>
    <n v="10025"/>
    <s v="Rebecca"/>
    <s v="Hahn"/>
    <n v="48"/>
    <n v="2"/>
    <x v="0"/>
    <x v="4"/>
    <x v="4"/>
    <s v="yes"/>
    <n v="24"/>
    <s v="T3"/>
    <n v="98000"/>
    <n v="58800"/>
    <x v="0"/>
    <n v="39200"/>
    <x v="0"/>
    <x v="6"/>
  </r>
  <r>
    <n v="5856"/>
    <s v="Jonathan"/>
    <s v="Jordan"/>
    <n v="46"/>
    <n v="11"/>
    <x v="1"/>
    <x v="4"/>
    <x v="2"/>
    <s v="no"/>
    <n v="40"/>
    <s v="T2"/>
    <n v="92017"/>
    <n v="92017"/>
    <x v="1"/>
    <n v="0"/>
    <x v="1"/>
    <x v="6"/>
  </r>
  <r>
    <n v="15045"/>
    <s v="Nicholas"/>
    <s v="Hill"/>
    <n v="28"/>
    <n v="3"/>
    <x v="1"/>
    <x v="0"/>
    <x v="1"/>
    <s v="no"/>
    <n v="40"/>
    <s v="T2"/>
    <n v="107000"/>
    <n v="107000"/>
    <x v="1"/>
    <n v="0"/>
    <x v="1"/>
    <x v="4"/>
  </r>
  <r>
    <n v="18487"/>
    <s v="Esteban"/>
    <s v="Porras"/>
    <n v="55"/>
    <n v="36"/>
    <x v="1"/>
    <x v="2"/>
    <x v="2"/>
    <s v="no"/>
    <n v="32"/>
    <s v="T1"/>
    <n v="73440"/>
    <n v="58752"/>
    <x v="0"/>
    <n v="14688"/>
    <x v="0"/>
    <x v="1"/>
  </r>
  <r>
    <n v="10599"/>
    <s v="John"/>
    <s v="Walsh"/>
    <n v="46"/>
    <n v="10"/>
    <x v="1"/>
    <x v="1"/>
    <x v="0"/>
    <s v="no"/>
    <n v="20"/>
    <s v="T3"/>
    <n v="122000"/>
    <n v="61000"/>
    <x v="1"/>
    <n v="61000"/>
    <x v="0"/>
    <x v="6"/>
  </r>
  <r>
    <n v="20730"/>
    <s v="Benjamin"/>
    <s v="Cross"/>
    <n v="50"/>
    <n v="3"/>
    <x v="1"/>
    <x v="0"/>
    <x v="4"/>
    <s v="no"/>
    <n v="40"/>
    <s v="T4"/>
    <n v="138000"/>
    <n v="138000"/>
    <x v="0"/>
    <n v="0"/>
    <x v="1"/>
    <x v="1"/>
  </r>
  <r>
    <n v="22116"/>
    <s v="Brooke"/>
    <s v="Sherman"/>
    <n v="39"/>
    <n v="0"/>
    <x v="0"/>
    <x v="2"/>
    <x v="1"/>
    <s v="no"/>
    <n v="16"/>
    <s v="T2"/>
    <n v="85000"/>
    <n v="34000"/>
    <x v="0"/>
    <n v="51000"/>
    <x v="0"/>
    <x v="3"/>
  </r>
  <r>
    <n v="18019"/>
    <s v="Ronald"/>
    <s v="Bishop"/>
    <n v="55"/>
    <n v="23"/>
    <x v="1"/>
    <x v="3"/>
    <x v="3"/>
    <s v="no"/>
    <n v="40"/>
    <s v="T2"/>
    <n v="100672"/>
    <n v="100672"/>
    <x v="1"/>
    <n v="0"/>
    <x v="1"/>
    <x v="1"/>
  </r>
  <r>
    <n v="943"/>
    <s v="Bradley"/>
    <s v="Wang"/>
    <n v="46"/>
    <n v="16"/>
    <x v="1"/>
    <x v="2"/>
    <x v="6"/>
    <s v="no"/>
    <n v="24"/>
    <s v="T2"/>
    <n v="95828"/>
    <n v="57496.800000000003"/>
    <x v="2"/>
    <n v="38331.199999999997"/>
    <x v="0"/>
    <x v="6"/>
  </r>
  <r>
    <n v="22571"/>
    <s v="Estela"/>
    <s v="Carmona"/>
    <n v="37"/>
    <n v="12"/>
    <x v="1"/>
    <x v="4"/>
    <x v="2"/>
    <s v="no"/>
    <n v="40"/>
    <s v="T3"/>
    <n v="121435"/>
    <n v="121435"/>
    <x v="1"/>
    <n v="0"/>
    <x v="1"/>
    <x v="3"/>
  </r>
  <r>
    <n v="18860"/>
    <s v="Todd"/>
    <s v="Freeman"/>
    <n v="40"/>
    <n v="2"/>
    <x v="1"/>
    <x v="1"/>
    <x v="6"/>
    <s v="no"/>
    <n v="20"/>
    <s v="T4"/>
    <n v="124200"/>
    <n v="62100"/>
    <x v="2"/>
    <n v="62100"/>
    <x v="0"/>
    <x v="3"/>
  </r>
  <r>
    <n v="10497"/>
    <s v="Joseph"/>
    <s v="Barajas"/>
    <n v="29"/>
    <n v="11"/>
    <x v="1"/>
    <x v="4"/>
    <x v="2"/>
    <s v="no"/>
    <n v="24"/>
    <s v="T1"/>
    <n v="73884"/>
    <n v="44330.400000000001"/>
    <x v="0"/>
    <n v="29553.599999999999"/>
    <x v="0"/>
    <x v="4"/>
  </r>
  <r>
    <n v="22424"/>
    <s v="Melissa"/>
    <s v="Martin"/>
    <n v="39"/>
    <n v="4"/>
    <x v="0"/>
    <x v="2"/>
    <x v="3"/>
    <s v="no"/>
    <n v="40"/>
    <s v="T3"/>
    <n v="98000"/>
    <n v="98000"/>
    <x v="2"/>
    <n v="0"/>
    <x v="1"/>
    <x v="3"/>
  </r>
  <r>
    <n v="4081"/>
    <s v="Леонтий"/>
    <s v="Никифоров"/>
    <n v="50"/>
    <n v="23"/>
    <x v="1"/>
    <x v="1"/>
    <x v="1"/>
    <s v="no"/>
    <n v="40"/>
    <s v="T2"/>
    <n v="107000"/>
    <n v="107000"/>
    <x v="1"/>
    <n v="0"/>
    <x v="1"/>
    <x v="1"/>
  </r>
  <r>
    <n v="5087"/>
    <s v="Megan"/>
    <s v="Arnold"/>
    <n v="43"/>
    <n v="25"/>
    <x v="0"/>
    <x v="0"/>
    <x v="2"/>
    <s v="no"/>
    <n v="40"/>
    <s v="T3"/>
    <n v="105415"/>
    <n v="131768.75"/>
    <x v="1"/>
    <n v="-26353.75"/>
    <x v="2"/>
    <x v="2"/>
  </r>
  <r>
    <n v="9353"/>
    <s v="Gabriela"/>
    <s v="Jackson"/>
    <n v="27"/>
    <n v="4"/>
    <x v="0"/>
    <x v="1"/>
    <x v="3"/>
    <s v="no"/>
    <n v="20"/>
    <s v="T3"/>
    <n v="98000"/>
    <n v="49000"/>
    <x v="2"/>
    <n v="49000"/>
    <x v="0"/>
    <x v="4"/>
  </r>
  <r>
    <n v="4469"/>
    <s v="Thomas"/>
    <s v="Allen"/>
    <n v="55"/>
    <n v="32"/>
    <x v="1"/>
    <x v="0"/>
    <x v="6"/>
    <s v="no"/>
    <n v="40"/>
    <s v="T4"/>
    <n v="138000"/>
    <n v="138000"/>
    <x v="1"/>
    <n v="0"/>
    <x v="1"/>
    <x v="1"/>
  </r>
  <r>
    <n v="4194"/>
    <s v="Carla"/>
    <s v="Escobedo"/>
    <n v="40"/>
    <n v="16"/>
    <x v="1"/>
    <x v="1"/>
    <x v="3"/>
    <s v="no"/>
    <n v="32"/>
    <s v="T1"/>
    <n v="81203"/>
    <n v="64962.400000000001"/>
    <x v="1"/>
    <n v="16240.599999999999"/>
    <x v="0"/>
    <x v="3"/>
  </r>
  <r>
    <n v="5780"/>
    <s v="Jason"/>
    <s v="Peterson"/>
    <n v="52"/>
    <n v="13"/>
    <x v="1"/>
    <x v="3"/>
    <x v="2"/>
    <s v="no"/>
    <n v="8"/>
    <s v="T1"/>
    <n v="73440"/>
    <n v="14688"/>
    <x v="0"/>
    <n v="58752"/>
    <x v="0"/>
    <x v="1"/>
  </r>
  <r>
    <n v="9611"/>
    <s v="Benjamin"/>
    <s v="Garcia"/>
    <n v="52"/>
    <n v="0"/>
    <x v="1"/>
    <x v="3"/>
    <x v="2"/>
    <s v="no"/>
    <n v="40"/>
    <s v="T3"/>
    <n v="107404"/>
    <n v="107404"/>
    <x v="1"/>
    <n v="0"/>
    <x v="1"/>
    <x v="1"/>
  </r>
  <r>
    <n v="9919"/>
    <s v="Calvin"/>
    <s v="Johnson"/>
    <n v="28"/>
    <n v="10"/>
    <x v="1"/>
    <x v="4"/>
    <x v="2"/>
    <s v="no"/>
    <n v="40"/>
    <s v="T3"/>
    <n v="119288"/>
    <n v="119288"/>
    <x v="2"/>
    <n v="0"/>
    <x v="1"/>
    <x v="4"/>
  </r>
  <r>
    <n v="20506"/>
    <s v="Gonzalo"/>
    <s v="Mateo"/>
    <n v="57"/>
    <n v="27"/>
    <x v="0"/>
    <x v="2"/>
    <x v="2"/>
    <s v="no"/>
    <n v="32"/>
    <s v="T1"/>
    <n v="68000"/>
    <n v="54400"/>
    <x v="0"/>
    <n v="13600"/>
    <x v="0"/>
    <x v="1"/>
  </r>
  <r>
    <n v="7588"/>
    <s v="Justin"/>
    <s v="Stein"/>
    <n v="21"/>
    <n v="0"/>
    <x v="1"/>
    <x v="2"/>
    <x v="6"/>
    <s v="no"/>
    <n v="8"/>
    <s v="T4"/>
    <n v="128626"/>
    <n v="25725.200000000001"/>
    <x v="2"/>
    <n v="102900.8"/>
    <x v="0"/>
    <x v="5"/>
  </r>
  <r>
    <n v="11922"/>
    <s v="Julio César"/>
    <s v="Gallegos"/>
    <n v="28"/>
    <n v="8"/>
    <x v="1"/>
    <x v="3"/>
    <x v="1"/>
    <s v="no"/>
    <n v="40"/>
    <s v="T2"/>
    <n v="107000"/>
    <n v="107000"/>
    <x v="1"/>
    <n v="0"/>
    <x v="1"/>
    <x v="4"/>
  </r>
  <r>
    <n v="7358"/>
    <s v="Amanda"/>
    <s v="Bowman"/>
    <n v="45"/>
    <n v="7"/>
    <x v="0"/>
    <x v="0"/>
    <x v="1"/>
    <s v="no"/>
    <n v="40"/>
    <s v="T5"/>
    <n v="139599"/>
    <n v="139599"/>
    <x v="2"/>
    <n v="0"/>
    <x v="1"/>
    <x v="2"/>
  </r>
  <r>
    <n v="21469"/>
    <s v="James"/>
    <s v="Davis"/>
    <n v="40"/>
    <n v="8"/>
    <x v="1"/>
    <x v="3"/>
    <x v="1"/>
    <s v="no"/>
    <n v="20"/>
    <s v="T3"/>
    <n v="106294"/>
    <n v="53147"/>
    <x v="2"/>
    <n v="53147"/>
    <x v="0"/>
    <x v="3"/>
  </r>
  <r>
    <n v="9337"/>
    <s v="Mark"/>
    <s v="Perry"/>
    <n v="47"/>
    <n v="1"/>
    <x v="1"/>
    <x v="2"/>
    <x v="2"/>
    <s v="no"/>
    <n v="40"/>
    <s v="T3"/>
    <n v="108151"/>
    <n v="108151"/>
    <x v="2"/>
    <n v="0"/>
    <x v="1"/>
    <x v="6"/>
  </r>
  <r>
    <n v="17248"/>
    <s v="William"/>
    <s v="Jennings"/>
    <n v="41"/>
    <n v="19"/>
    <x v="1"/>
    <x v="0"/>
    <x v="3"/>
    <s v="no"/>
    <n v="40"/>
    <s v="T1"/>
    <n v="74131"/>
    <n v="74131"/>
    <x v="0"/>
    <n v="0"/>
    <x v="1"/>
    <x v="2"/>
  </r>
  <r>
    <n v="16695"/>
    <s v="Melody"/>
    <s v="Skinner"/>
    <n v="32"/>
    <n v="3"/>
    <x v="0"/>
    <x v="1"/>
    <x v="1"/>
    <s v="no"/>
    <n v="40"/>
    <s v="T3"/>
    <n v="111797"/>
    <n v="111797"/>
    <x v="1"/>
    <n v="0"/>
    <x v="1"/>
    <x v="0"/>
  </r>
  <r>
    <n v="15042"/>
    <s v="Latoya"/>
    <s v="Brown"/>
    <n v="58"/>
    <n v="21"/>
    <x v="0"/>
    <x v="1"/>
    <x v="1"/>
    <s v="no"/>
    <n v="20"/>
    <s v="T4"/>
    <n v="123856"/>
    <n v="61928"/>
    <x v="2"/>
    <n v="61928"/>
    <x v="0"/>
    <x v="1"/>
  </r>
  <r>
    <n v="4267"/>
    <s v="Maria"/>
    <s v="Gould"/>
    <n v="56"/>
    <n v="7"/>
    <x v="0"/>
    <x v="0"/>
    <x v="0"/>
    <s v="no"/>
    <n v="20"/>
    <s v="T3"/>
    <n v="104930"/>
    <n v="52465"/>
    <x v="2"/>
    <n v="52465"/>
    <x v="0"/>
    <x v="1"/>
  </r>
  <r>
    <n v="8915"/>
    <s v="Genaro"/>
    <s v="Balderas"/>
    <n v="19"/>
    <n v="1"/>
    <x v="1"/>
    <x v="4"/>
    <x v="6"/>
    <s v="no"/>
    <n v="8"/>
    <s v="T4"/>
    <n v="124200"/>
    <n v="24840"/>
    <x v="2"/>
    <n v="99360"/>
    <x v="0"/>
    <x v="7"/>
  </r>
  <r>
    <n v="2351"/>
    <s v="Zachary"/>
    <s v="Manning"/>
    <n v="41"/>
    <n v="1"/>
    <x v="1"/>
    <x v="0"/>
    <x v="2"/>
    <s v="no"/>
    <n v="32"/>
    <s v="T1"/>
    <n v="81955"/>
    <n v="65564"/>
    <x v="2"/>
    <n v="16391"/>
    <x v="0"/>
    <x v="2"/>
  </r>
  <r>
    <n v="3711"/>
    <s v="Tara"/>
    <s v="Parsons"/>
    <n v="43"/>
    <n v="8"/>
    <x v="0"/>
    <x v="2"/>
    <x v="2"/>
    <s v="no"/>
    <n v="40"/>
    <s v="T2"/>
    <n v="85000"/>
    <n v="85000"/>
    <x v="2"/>
    <n v="0"/>
    <x v="1"/>
    <x v="2"/>
  </r>
  <r>
    <n v="21471"/>
    <s v="Humberto"/>
    <s v="Regalado"/>
    <n v="52"/>
    <n v="19"/>
    <x v="1"/>
    <x v="1"/>
    <x v="3"/>
    <s v="no"/>
    <n v="40"/>
    <s v="T3"/>
    <n v="122000"/>
    <n v="122000"/>
    <x v="1"/>
    <n v="0"/>
    <x v="1"/>
    <x v="1"/>
  </r>
  <r>
    <n v="9753"/>
    <s v="Наина"/>
    <s v="Мясникова"/>
    <n v="25"/>
    <n v="5"/>
    <x v="0"/>
    <x v="3"/>
    <x v="3"/>
    <s v="no"/>
    <n v="40"/>
    <s v="T3"/>
    <n v="111526"/>
    <n v="111526"/>
    <x v="2"/>
    <n v="0"/>
    <x v="1"/>
    <x v="4"/>
  </r>
  <r>
    <n v="2131"/>
    <s v="Tyrone"/>
    <s v="Wise"/>
    <n v="50"/>
    <n v="20"/>
    <x v="1"/>
    <x v="3"/>
    <x v="3"/>
    <s v="no"/>
    <n v="32"/>
    <s v="T1"/>
    <n v="73440"/>
    <n v="58752"/>
    <x v="0"/>
    <n v="14688"/>
    <x v="0"/>
    <x v="1"/>
  </r>
  <r>
    <n v="803"/>
    <s v="Hunter"/>
    <s v="Johnson"/>
    <n v="28"/>
    <n v="10"/>
    <x v="1"/>
    <x v="3"/>
    <x v="1"/>
    <s v="no"/>
    <n v="40"/>
    <s v="T3"/>
    <n v="116135"/>
    <n v="116135"/>
    <x v="1"/>
    <n v="0"/>
    <x v="1"/>
    <x v="4"/>
  </r>
  <r>
    <n v="11616"/>
    <s v="Jeremy"/>
    <s v="Smith"/>
    <n v="23"/>
    <n v="0"/>
    <x v="1"/>
    <x v="3"/>
    <x v="2"/>
    <s v="no"/>
    <n v="24"/>
    <s v="T1"/>
    <n v="73440"/>
    <n v="44064"/>
    <x v="0"/>
    <n v="29376"/>
    <x v="0"/>
    <x v="5"/>
  </r>
  <r>
    <n v="4973"/>
    <s v="Clinton"/>
    <s v="Smith"/>
    <n v="35"/>
    <n v="8"/>
    <x v="1"/>
    <x v="1"/>
    <x v="1"/>
    <s v="no"/>
    <n v="40"/>
    <s v="T3"/>
    <n v="122000"/>
    <n v="122000"/>
    <x v="1"/>
    <n v="0"/>
    <x v="1"/>
    <x v="0"/>
  </r>
  <r>
    <n v="21563"/>
    <s v="Karen"/>
    <s v="Dalton"/>
    <n v="59"/>
    <n v="21"/>
    <x v="0"/>
    <x v="2"/>
    <x v="6"/>
    <s v="yes"/>
    <n v="20"/>
    <s v="T3"/>
    <n v="98000"/>
    <n v="49000"/>
    <x v="2"/>
    <n v="49000"/>
    <x v="0"/>
    <x v="1"/>
  </r>
  <r>
    <n v="9270"/>
    <s v="William"/>
    <s v="Taylor"/>
    <n v="29"/>
    <n v="11"/>
    <x v="1"/>
    <x v="1"/>
    <x v="4"/>
    <s v="no"/>
    <n v="32"/>
    <s v="T5"/>
    <n v="140400"/>
    <n v="112320"/>
    <x v="2"/>
    <n v="28080"/>
    <x v="0"/>
    <x v="4"/>
  </r>
  <r>
    <n v="5981"/>
    <s v="Tonya"/>
    <s v="Patel"/>
    <n v="37"/>
    <n v="13"/>
    <x v="0"/>
    <x v="2"/>
    <x v="3"/>
    <s v="no"/>
    <n v="16"/>
    <s v="T1"/>
    <n v="68000"/>
    <n v="27200"/>
    <x v="2"/>
    <n v="40800"/>
    <x v="0"/>
    <x v="3"/>
  </r>
  <r>
    <n v="15165"/>
    <s v="Jodi"/>
    <s v="Ewing"/>
    <n v="57"/>
    <n v="38"/>
    <x v="0"/>
    <x v="0"/>
    <x v="1"/>
    <s v="no"/>
    <n v="40"/>
    <s v="T3"/>
    <n v="98000"/>
    <n v="98000"/>
    <x v="2"/>
    <n v="0"/>
    <x v="1"/>
    <x v="1"/>
  </r>
  <r>
    <n v="18764"/>
    <s v="Terry"/>
    <s v="Thompson"/>
    <n v="31"/>
    <n v="0"/>
    <x v="1"/>
    <x v="0"/>
    <x v="3"/>
    <s v="no"/>
    <n v="40"/>
    <s v="T2"/>
    <n v="96549"/>
    <n v="96549"/>
    <x v="2"/>
    <n v="0"/>
    <x v="1"/>
    <x v="0"/>
  </r>
  <r>
    <n v="14701"/>
    <s v="Carrie"/>
    <s v="Davis"/>
    <n v="60"/>
    <n v="32"/>
    <x v="0"/>
    <x v="3"/>
    <x v="2"/>
    <s v="no"/>
    <n v="40"/>
    <s v="T2"/>
    <n v="95795"/>
    <n v="95795"/>
    <x v="2"/>
    <n v="0"/>
    <x v="1"/>
    <x v="1"/>
  </r>
  <r>
    <n v="19066"/>
    <s v="David"/>
    <s v="Henry"/>
    <n v="30"/>
    <n v="0"/>
    <x v="1"/>
    <x v="1"/>
    <x v="1"/>
    <s v="no"/>
    <n v="16"/>
    <s v="T3"/>
    <n v="105840"/>
    <n v="42336"/>
    <x v="0"/>
    <n v="63504"/>
    <x v="0"/>
    <x v="4"/>
  </r>
  <r>
    <n v="1003"/>
    <s v="Albert"/>
    <s v="Kaufman"/>
    <n v="38"/>
    <n v="2"/>
    <x v="1"/>
    <x v="2"/>
    <x v="2"/>
    <s v="no"/>
    <n v="24"/>
    <s v="T1"/>
    <n v="78309"/>
    <n v="46985.4"/>
    <x v="1"/>
    <n v="31323.599999999999"/>
    <x v="0"/>
    <x v="3"/>
  </r>
  <r>
    <n v="3152"/>
    <s v="Taylor"/>
    <s v="Mata"/>
    <n v="50"/>
    <n v="13"/>
    <x v="0"/>
    <x v="1"/>
    <x v="3"/>
    <s v="no"/>
    <n v="40"/>
    <s v="T4"/>
    <n v="115000"/>
    <n v="115000"/>
    <x v="2"/>
    <n v="0"/>
    <x v="1"/>
    <x v="1"/>
  </r>
  <r>
    <n v="5571"/>
    <s v="Arthur"/>
    <s v="Wright"/>
    <n v="55"/>
    <n v="11"/>
    <x v="1"/>
    <x v="2"/>
    <x v="3"/>
    <s v="no"/>
    <n v="8"/>
    <s v="T1"/>
    <n v="73440"/>
    <n v="14688"/>
    <x v="2"/>
    <n v="58752"/>
    <x v="0"/>
    <x v="1"/>
  </r>
  <r>
    <n v="18564"/>
    <s v="Peter"/>
    <s v="Morgan"/>
    <n v="65"/>
    <n v="26"/>
    <x v="1"/>
    <x v="3"/>
    <x v="6"/>
    <s v="yes"/>
    <n v="20"/>
    <s v="T2"/>
    <n v="91800"/>
    <n v="45900"/>
    <x v="0"/>
    <n v="45900"/>
    <x v="0"/>
    <x v="1"/>
  </r>
  <r>
    <n v="1867"/>
    <s v="Megan"/>
    <s v="Velez"/>
    <n v="47"/>
    <n v="15"/>
    <x v="0"/>
    <x v="3"/>
    <x v="2"/>
    <s v="no"/>
    <n v="20"/>
    <s v="T3"/>
    <n v="98000"/>
    <n v="49000"/>
    <x v="0"/>
    <n v="49000"/>
    <x v="0"/>
    <x v="6"/>
  </r>
  <r>
    <n v="12785"/>
    <s v="Aurora"/>
    <s v="Estrada"/>
    <n v="32"/>
    <n v="13"/>
    <x v="0"/>
    <x v="1"/>
    <x v="3"/>
    <s v="no"/>
    <n v="40"/>
    <s v="T2"/>
    <n v="96858"/>
    <n v="96858"/>
    <x v="2"/>
    <n v="0"/>
    <x v="1"/>
    <x v="0"/>
  </r>
  <r>
    <n v="19774"/>
    <s v="Edward"/>
    <s v="Bray"/>
    <n v="41"/>
    <n v="12"/>
    <x v="1"/>
    <x v="2"/>
    <x v="4"/>
    <s v="no"/>
    <n v="20"/>
    <s v="T3"/>
    <n v="105840"/>
    <n v="52920"/>
    <x v="0"/>
    <n v="52920"/>
    <x v="0"/>
    <x v="2"/>
  </r>
  <r>
    <n v="18792"/>
    <s v="Tyler"/>
    <s v="Garrison"/>
    <n v="47"/>
    <n v="13"/>
    <x v="1"/>
    <x v="4"/>
    <x v="1"/>
    <s v="yes"/>
    <n v="32"/>
    <s v="T4"/>
    <n v="124200"/>
    <n v="99360"/>
    <x v="2"/>
    <n v="24840"/>
    <x v="0"/>
    <x v="6"/>
  </r>
  <r>
    <n v="5539"/>
    <s v="Fernando"/>
    <s v="Mireles"/>
    <n v="37"/>
    <n v="14"/>
    <x v="1"/>
    <x v="3"/>
    <x v="1"/>
    <s v="no"/>
    <n v="40"/>
    <s v="T2"/>
    <n v="92515"/>
    <n v="92515"/>
    <x v="2"/>
    <n v="0"/>
    <x v="1"/>
    <x v="3"/>
  </r>
  <r>
    <n v="14770"/>
    <s v="Kenneth"/>
    <s v="Barber"/>
    <n v="30"/>
    <n v="2"/>
    <x v="1"/>
    <x v="1"/>
    <x v="3"/>
    <s v="no"/>
    <n v="16"/>
    <s v="T1"/>
    <n v="73440"/>
    <n v="29376"/>
    <x v="0"/>
    <n v="44064"/>
    <x v="0"/>
    <x v="4"/>
  </r>
  <r>
    <n v="4863"/>
    <s v="Óscar"/>
    <s v="Toledo"/>
    <n v="56"/>
    <n v="32"/>
    <x v="0"/>
    <x v="2"/>
    <x v="3"/>
    <s v="no"/>
    <n v="20"/>
    <s v="T4"/>
    <n v="115000"/>
    <n v="57500"/>
    <x v="0"/>
    <n v="57500"/>
    <x v="0"/>
    <x v="1"/>
  </r>
  <r>
    <n v="2057"/>
    <s v="Dulce"/>
    <s v="Elizondo"/>
    <n v="20"/>
    <n v="0"/>
    <x v="0"/>
    <x v="4"/>
    <x v="2"/>
    <s v="no"/>
    <n v="20"/>
    <s v="T1"/>
    <n v="68000"/>
    <n v="34000"/>
    <x v="2"/>
    <n v="34000"/>
    <x v="0"/>
    <x v="5"/>
  </r>
  <r>
    <n v="10788"/>
    <s v="Julie"/>
    <s v="Harrington"/>
    <n v="33"/>
    <n v="0"/>
    <x v="0"/>
    <x v="1"/>
    <x v="1"/>
    <s v="no"/>
    <n v="40"/>
    <s v="T2"/>
    <n v="86215"/>
    <n v="86215"/>
    <x v="2"/>
    <n v="0"/>
    <x v="1"/>
    <x v="0"/>
  </r>
  <r>
    <n v="12635"/>
    <s v="Kenneth"/>
    <s v="Ramos"/>
    <n v="32"/>
    <n v="1"/>
    <x v="1"/>
    <x v="2"/>
    <x v="3"/>
    <s v="no"/>
    <n v="16"/>
    <s v="T1"/>
    <n v="75859"/>
    <n v="30343.599999999999"/>
    <x v="2"/>
    <n v="45515.4"/>
    <x v="0"/>
    <x v="0"/>
  </r>
  <r>
    <n v="1994"/>
    <s v="Jennifer"/>
    <s v="Moore"/>
    <n v="20"/>
    <n v="2"/>
    <x v="0"/>
    <x v="0"/>
    <x v="0"/>
    <s v="no"/>
    <n v="20"/>
    <s v="T3"/>
    <n v="108538"/>
    <n v="54269"/>
    <x v="2"/>
    <n v="54269"/>
    <x v="0"/>
    <x v="5"/>
  </r>
  <r>
    <n v="12411"/>
    <s v="Donald"/>
    <s v="Mosley"/>
    <n v="41"/>
    <n v="16"/>
    <x v="1"/>
    <x v="0"/>
    <x v="3"/>
    <s v="no"/>
    <n v="40"/>
    <s v="T1"/>
    <n v="85804"/>
    <n v="85804"/>
    <x v="0"/>
    <n v="0"/>
    <x v="1"/>
    <x v="2"/>
  </r>
  <r>
    <n v="7570"/>
    <s v="Amanda"/>
    <s v="Abbott"/>
    <n v="56"/>
    <n v="27"/>
    <x v="0"/>
    <x v="2"/>
    <x v="3"/>
    <s v="no"/>
    <n v="40"/>
    <s v="T2"/>
    <n v="85000"/>
    <n v="85000"/>
    <x v="2"/>
    <n v="0"/>
    <x v="1"/>
    <x v="1"/>
  </r>
  <r>
    <n v="8863"/>
    <s v="Anna"/>
    <s v="Fischer"/>
    <n v="49"/>
    <n v="6"/>
    <x v="0"/>
    <x v="1"/>
    <x v="2"/>
    <s v="yes"/>
    <n v="16"/>
    <s v="T1"/>
    <n v="68000"/>
    <n v="27200"/>
    <x v="0"/>
    <n v="40800"/>
    <x v="0"/>
    <x v="6"/>
  </r>
  <r>
    <n v="22541"/>
    <s v="Mary"/>
    <s v="Davis"/>
    <n v="43"/>
    <n v="10"/>
    <x v="0"/>
    <x v="4"/>
    <x v="2"/>
    <s v="no"/>
    <n v="40"/>
    <s v="T2"/>
    <n v="95723"/>
    <n v="95723"/>
    <x v="2"/>
    <n v="0"/>
    <x v="1"/>
    <x v="2"/>
  </r>
  <r>
    <n v="4055"/>
    <s v="Michael"/>
    <s v="Mcguire"/>
    <n v="31"/>
    <n v="11"/>
    <x v="1"/>
    <x v="3"/>
    <x v="4"/>
    <s v="no"/>
    <n v="24"/>
    <s v="T3"/>
    <n v="111410"/>
    <n v="66846"/>
    <x v="2"/>
    <n v="44564"/>
    <x v="0"/>
    <x v="0"/>
  </r>
  <r>
    <n v="12276"/>
    <s v="Regina"/>
    <s v="Johnson"/>
    <n v="46"/>
    <n v="22"/>
    <x v="0"/>
    <x v="0"/>
    <x v="3"/>
    <s v="no"/>
    <n v="40"/>
    <s v="T3"/>
    <n v="106352"/>
    <n v="106352"/>
    <x v="2"/>
    <n v="0"/>
    <x v="1"/>
    <x v="6"/>
  </r>
  <r>
    <n v="19033"/>
    <s v="Socorro"/>
    <s v="Haro"/>
    <n v="63"/>
    <n v="13"/>
    <x v="0"/>
    <x v="2"/>
    <x v="3"/>
    <s v="no"/>
    <n v="40"/>
    <s v="T2"/>
    <n v="85000"/>
    <n v="85000"/>
    <x v="2"/>
    <n v="0"/>
    <x v="1"/>
    <x v="1"/>
  </r>
  <r>
    <n v="14003"/>
    <s v="Gregory"/>
    <s v="Jacobs"/>
    <n v="39"/>
    <n v="17"/>
    <x v="1"/>
    <x v="1"/>
    <x v="2"/>
    <s v="no"/>
    <n v="16"/>
    <s v="T1"/>
    <n v="73440"/>
    <n v="29376"/>
    <x v="0"/>
    <n v="44064"/>
    <x v="0"/>
    <x v="3"/>
  </r>
  <r>
    <n v="21024"/>
    <s v="Linda"/>
    <s v="Pope"/>
    <n v="35"/>
    <n v="15"/>
    <x v="0"/>
    <x v="3"/>
    <x v="3"/>
    <s v="no"/>
    <n v="40"/>
    <s v="T2"/>
    <n v="85000"/>
    <n v="85000"/>
    <x v="2"/>
    <n v="0"/>
    <x v="1"/>
    <x v="0"/>
  </r>
  <r>
    <n v="5751"/>
    <s v="Phillip"/>
    <s v="Wyatt"/>
    <n v="42"/>
    <n v="21"/>
    <x v="1"/>
    <x v="1"/>
    <x v="0"/>
    <s v="no"/>
    <n v="20"/>
    <s v="T3"/>
    <n v="122000"/>
    <n v="61000"/>
    <x v="1"/>
    <n v="61000"/>
    <x v="0"/>
    <x v="2"/>
  </r>
  <r>
    <n v="8444"/>
    <s v="Alexander"/>
    <s v="Johnson"/>
    <n v="61"/>
    <n v="23"/>
    <x v="1"/>
    <x v="0"/>
    <x v="3"/>
    <s v="yes"/>
    <n v="32"/>
    <s v="T1"/>
    <n v="73440"/>
    <n v="58752"/>
    <x v="0"/>
    <n v="14688"/>
    <x v="0"/>
    <x v="1"/>
  </r>
  <r>
    <n v="6011"/>
    <s v="Kevin"/>
    <s v="George"/>
    <n v="55"/>
    <n v="15"/>
    <x v="1"/>
    <x v="1"/>
    <x v="1"/>
    <s v="no"/>
    <n v="40"/>
    <s v="T3"/>
    <n v="122000"/>
    <n v="122000"/>
    <x v="1"/>
    <n v="0"/>
    <x v="1"/>
    <x v="1"/>
  </r>
  <r>
    <n v="6488"/>
    <s v="Ofelia"/>
    <s v="Alonso"/>
    <n v="35"/>
    <n v="3"/>
    <x v="1"/>
    <x v="4"/>
    <x v="2"/>
    <s v="no"/>
    <n v="40"/>
    <s v="T2"/>
    <n v="107000"/>
    <n v="107000"/>
    <x v="1"/>
    <n v="0"/>
    <x v="1"/>
    <x v="0"/>
  </r>
  <r>
    <n v="14197"/>
    <s v="Alejandro"/>
    <s v="Olivo"/>
    <n v="59"/>
    <n v="18"/>
    <x v="1"/>
    <x v="1"/>
    <x v="2"/>
    <s v="no"/>
    <n v="40"/>
    <s v="T3"/>
    <n v="108637"/>
    <n v="108637"/>
    <x v="1"/>
    <n v="0"/>
    <x v="1"/>
    <x v="1"/>
  </r>
  <r>
    <n v="1499"/>
    <s v="Эраст"/>
    <s v="Игнатов"/>
    <n v="26"/>
    <n v="5"/>
    <x v="1"/>
    <x v="3"/>
    <x v="1"/>
    <s v="no"/>
    <n v="20"/>
    <s v="T3"/>
    <n v="120802"/>
    <n v="60401"/>
    <x v="1"/>
    <n v="60401"/>
    <x v="0"/>
    <x v="4"/>
  </r>
  <r>
    <n v="6564"/>
    <s v="Gerardo"/>
    <s v="Correa"/>
    <n v="23"/>
    <n v="2"/>
    <x v="1"/>
    <x v="4"/>
    <x v="2"/>
    <s v="no"/>
    <n v="40"/>
    <s v="T3"/>
    <n v="121179"/>
    <n v="121179"/>
    <x v="2"/>
    <n v="0"/>
    <x v="1"/>
    <x v="5"/>
  </r>
  <r>
    <n v="11572"/>
    <s v="Travis"/>
    <s v="Silva"/>
    <n v="28"/>
    <n v="7"/>
    <x v="1"/>
    <x v="4"/>
    <x v="1"/>
    <s v="no"/>
    <n v="20"/>
    <s v="T2"/>
    <n v="91800"/>
    <n v="45900"/>
    <x v="0"/>
    <n v="45900"/>
    <x v="0"/>
    <x v="4"/>
  </r>
  <r>
    <n v="14178"/>
    <s v="Christopher"/>
    <s v="Scott"/>
    <n v="41"/>
    <n v="23"/>
    <x v="1"/>
    <x v="2"/>
    <x v="4"/>
    <s v="yes"/>
    <n v="16"/>
    <s v="T5"/>
    <n v="140400"/>
    <n v="56160"/>
    <x v="2"/>
    <n v="84240"/>
    <x v="0"/>
    <x v="2"/>
  </r>
  <r>
    <n v="22638"/>
    <s v="John"/>
    <s v="Kirk"/>
    <n v="34"/>
    <n v="3"/>
    <x v="1"/>
    <x v="2"/>
    <x v="3"/>
    <s v="no"/>
    <n v="40"/>
    <s v="T2"/>
    <n v="104097"/>
    <n v="104097"/>
    <x v="1"/>
    <n v="0"/>
    <x v="1"/>
    <x v="0"/>
  </r>
  <r>
    <n v="8818"/>
    <s v="Andrew"/>
    <s v="Barajas"/>
    <n v="54"/>
    <n v="24"/>
    <x v="1"/>
    <x v="3"/>
    <x v="0"/>
    <s v="yes"/>
    <n v="20"/>
    <s v="T5"/>
    <n v="140450"/>
    <n v="70225"/>
    <x v="2"/>
    <n v="70225"/>
    <x v="0"/>
    <x v="1"/>
  </r>
  <r>
    <n v="9429"/>
    <s v="Megan"/>
    <s v="Russo"/>
    <n v="62"/>
    <n v="39"/>
    <x v="0"/>
    <x v="4"/>
    <x v="0"/>
    <s v="yes"/>
    <n v="16"/>
    <s v="T2"/>
    <n v="85000"/>
    <n v="34000"/>
    <x v="0"/>
    <n v="51000"/>
    <x v="0"/>
    <x v="1"/>
  </r>
  <r>
    <n v="5903"/>
    <s v="Dawn"/>
    <s v="Le"/>
    <n v="32"/>
    <n v="4"/>
    <x v="0"/>
    <x v="4"/>
    <x v="3"/>
    <s v="no"/>
    <n v="20"/>
    <s v="T3"/>
    <n v="98000"/>
    <n v="49000"/>
    <x v="0"/>
    <n v="49000"/>
    <x v="0"/>
    <x v="0"/>
  </r>
  <r>
    <n v="4229"/>
    <s v="Emily"/>
    <s v="Holland"/>
    <n v="49"/>
    <n v="12"/>
    <x v="0"/>
    <x v="3"/>
    <x v="5"/>
    <s v="yes"/>
    <n v="32"/>
    <s v="T5"/>
    <n v="130000"/>
    <n v="104000"/>
    <x v="0"/>
    <n v="26000"/>
    <x v="0"/>
    <x v="6"/>
  </r>
  <r>
    <n v="13222"/>
    <s v="Shannon"/>
    <s v="Simpson"/>
    <n v="53"/>
    <n v="26"/>
    <x v="0"/>
    <x v="2"/>
    <x v="2"/>
    <s v="yes"/>
    <n v="32"/>
    <s v="T1"/>
    <n v="68000"/>
    <n v="54400"/>
    <x v="0"/>
    <n v="13600"/>
    <x v="0"/>
    <x v="1"/>
  </r>
  <r>
    <n v="1955"/>
    <s v="Darlene"/>
    <s v="Moore"/>
    <n v="42"/>
    <n v="6"/>
    <x v="0"/>
    <x v="2"/>
    <x v="6"/>
    <s v="no"/>
    <n v="20"/>
    <s v="T4"/>
    <n v="115000"/>
    <n v="57500"/>
    <x v="0"/>
    <n v="57500"/>
    <x v="0"/>
    <x v="2"/>
  </r>
  <r>
    <n v="16110"/>
    <s v="Gabrielle"/>
    <s v="Johnson"/>
    <n v="46"/>
    <n v="4"/>
    <x v="0"/>
    <x v="1"/>
    <x v="1"/>
    <s v="no"/>
    <n v="16"/>
    <s v="T3"/>
    <n v="98000"/>
    <n v="39200"/>
    <x v="2"/>
    <n v="58800"/>
    <x v="0"/>
    <x v="6"/>
  </r>
  <r>
    <n v="7975"/>
    <s v="Karen"/>
    <s v="Liu"/>
    <n v="40"/>
    <n v="7"/>
    <x v="0"/>
    <x v="4"/>
    <x v="6"/>
    <s v="yes"/>
    <n v="32"/>
    <s v="T3"/>
    <n v="98000"/>
    <n v="78400"/>
    <x v="2"/>
    <n v="19600"/>
    <x v="0"/>
    <x v="3"/>
  </r>
  <r>
    <n v="7226"/>
    <s v="Adam"/>
    <s v="Young"/>
    <n v="35"/>
    <n v="0"/>
    <x v="1"/>
    <x v="1"/>
    <x v="3"/>
    <s v="no"/>
    <n v="32"/>
    <s v="T1"/>
    <n v="81754"/>
    <n v="65403.199999999997"/>
    <x v="1"/>
    <n v="16350.800000000003"/>
    <x v="0"/>
    <x v="0"/>
  </r>
  <r>
    <n v="15770"/>
    <s v="Nathaniel"/>
    <s v="Scott"/>
    <n v="41"/>
    <n v="23"/>
    <x v="1"/>
    <x v="4"/>
    <x v="2"/>
    <s v="no"/>
    <n v="20"/>
    <s v="T1"/>
    <n v="82929"/>
    <n v="41464.5"/>
    <x v="2"/>
    <n v="41464.5"/>
    <x v="0"/>
    <x v="2"/>
  </r>
  <r>
    <n v="12144"/>
    <s v="Jorge"/>
    <s v="Budig"/>
    <n v="52"/>
    <n v="1"/>
    <x v="1"/>
    <x v="0"/>
    <x v="3"/>
    <s v="no"/>
    <n v="40"/>
    <s v="T1"/>
    <n v="87000"/>
    <n v="87000"/>
    <x v="1"/>
    <n v="0"/>
    <x v="1"/>
    <x v="1"/>
  </r>
  <r>
    <n v="10687"/>
    <s v="Ashley"/>
    <s v="Allen"/>
    <n v="44"/>
    <n v="15"/>
    <x v="0"/>
    <x v="4"/>
    <x v="2"/>
    <s v="yes"/>
    <n v="16"/>
    <s v="T1"/>
    <n v="68000"/>
    <n v="27200"/>
    <x v="2"/>
    <n v="40800"/>
    <x v="0"/>
    <x v="2"/>
  </r>
  <r>
    <n v="8144"/>
    <s v="Aaron"/>
    <s v="Rogers"/>
    <n v="45"/>
    <n v="20"/>
    <x v="1"/>
    <x v="4"/>
    <x v="1"/>
    <s v="yes"/>
    <n v="20"/>
    <s v="T4"/>
    <n v="124200"/>
    <n v="62100"/>
    <x v="1"/>
    <n v="62100"/>
    <x v="0"/>
    <x v="2"/>
  </r>
  <r>
    <n v="7991"/>
    <s v="Michael"/>
    <s v="Suarez"/>
    <n v="55"/>
    <n v="36"/>
    <x v="1"/>
    <x v="4"/>
    <x v="3"/>
    <s v="no"/>
    <n v="40"/>
    <s v="T2"/>
    <n v="93950"/>
    <n v="93950"/>
    <x v="2"/>
    <n v="0"/>
    <x v="1"/>
    <x v="1"/>
  </r>
  <r>
    <n v="1462"/>
    <s v="Héctor"/>
    <s v="Montez"/>
    <n v="32"/>
    <n v="10"/>
    <x v="1"/>
    <x v="0"/>
    <x v="3"/>
    <s v="no"/>
    <n v="24"/>
    <s v="T1"/>
    <n v="73440"/>
    <n v="44064"/>
    <x v="2"/>
    <n v="29376"/>
    <x v="0"/>
    <x v="0"/>
  </r>
  <r>
    <n v="22314"/>
    <s v="Timothy"/>
    <s v="Gordon"/>
    <n v="48"/>
    <n v="21"/>
    <x v="1"/>
    <x v="1"/>
    <x v="1"/>
    <s v="no"/>
    <n v="40"/>
    <s v="T3"/>
    <n v="122000"/>
    <n v="122000"/>
    <x v="1"/>
    <n v="0"/>
    <x v="1"/>
    <x v="6"/>
  </r>
  <r>
    <n v="7015"/>
    <s v="Tammy"/>
    <s v="Adams"/>
    <n v="34"/>
    <n v="15"/>
    <x v="0"/>
    <x v="4"/>
    <x v="3"/>
    <s v="yes"/>
    <n v="32"/>
    <s v="T1"/>
    <n v="68527"/>
    <n v="54821.599999999999"/>
    <x v="0"/>
    <n v="13705.400000000001"/>
    <x v="0"/>
    <x v="0"/>
  </r>
  <r>
    <n v="13743"/>
    <s v="Jill"/>
    <s v="Patterson"/>
    <n v="28"/>
    <n v="8"/>
    <x v="0"/>
    <x v="4"/>
    <x v="1"/>
    <s v="no"/>
    <n v="20"/>
    <s v="T3"/>
    <n v="100990"/>
    <n v="50495"/>
    <x v="1"/>
    <n v="50495"/>
    <x v="0"/>
    <x v="4"/>
  </r>
  <r>
    <n v="11443"/>
    <s v="Jake"/>
    <s v="Wilson"/>
    <n v="32"/>
    <n v="4"/>
    <x v="1"/>
    <x v="3"/>
    <x v="0"/>
    <s v="no"/>
    <n v="16"/>
    <s v="T2"/>
    <n v="92909"/>
    <n v="37163.599999999999"/>
    <x v="0"/>
    <n v="55745.4"/>
    <x v="0"/>
    <x v="0"/>
  </r>
  <r>
    <n v="9816"/>
    <s v="Sharon"/>
    <s v="Acosta"/>
    <n v="31"/>
    <n v="1"/>
    <x v="0"/>
    <x v="4"/>
    <x v="1"/>
    <s v="no"/>
    <n v="40"/>
    <s v="T3"/>
    <n v="99701"/>
    <n v="99701"/>
    <x v="1"/>
    <n v="0"/>
    <x v="1"/>
    <x v="0"/>
  </r>
  <r>
    <n v="2961"/>
    <s v="Jason"/>
    <s v="English"/>
    <n v="41"/>
    <n v="21"/>
    <x v="1"/>
    <x v="1"/>
    <x v="2"/>
    <s v="yes"/>
    <n v="24"/>
    <s v="T1"/>
    <n v="78800"/>
    <n v="47280"/>
    <x v="2"/>
    <n v="31520"/>
    <x v="0"/>
    <x v="2"/>
  </r>
  <r>
    <n v="9833"/>
    <s v="Luis"/>
    <s v="Rubio"/>
    <n v="38"/>
    <n v="1"/>
    <x v="1"/>
    <x v="3"/>
    <x v="2"/>
    <s v="no"/>
    <n v="32"/>
    <s v="T2"/>
    <n v="97345"/>
    <n v="77876"/>
    <x v="2"/>
    <n v="19469"/>
    <x v="0"/>
    <x v="3"/>
  </r>
  <r>
    <n v="12193"/>
    <s v="Andrea"/>
    <s v="Schneider"/>
    <n v="63"/>
    <n v="32"/>
    <x v="0"/>
    <x v="2"/>
    <x v="2"/>
    <s v="no"/>
    <n v="20"/>
    <s v="T1"/>
    <n v="68000"/>
    <n v="34000"/>
    <x v="2"/>
    <n v="34000"/>
    <x v="0"/>
    <x v="1"/>
  </r>
  <r>
    <n v="21707"/>
    <s v="Jacqueline"/>
    <s v="Watkins"/>
    <n v="25"/>
    <n v="7"/>
    <x v="0"/>
    <x v="3"/>
    <x v="2"/>
    <s v="no"/>
    <n v="20"/>
    <s v="T3"/>
    <n v="98000"/>
    <n v="49000"/>
    <x v="0"/>
    <n v="49000"/>
    <x v="0"/>
    <x v="4"/>
  </r>
  <r>
    <n v="17379"/>
    <s v="William"/>
    <s v="Mann"/>
    <n v="28"/>
    <n v="9"/>
    <x v="1"/>
    <x v="1"/>
    <x v="2"/>
    <s v="no"/>
    <n v="40"/>
    <s v="T3"/>
    <n v="122000"/>
    <n v="122000"/>
    <x v="2"/>
    <n v="0"/>
    <x v="1"/>
    <x v="4"/>
  </r>
  <r>
    <n v="13783"/>
    <s v="María Eugenia"/>
    <s v="Candelaria"/>
    <n v="36"/>
    <n v="6"/>
    <x v="1"/>
    <x v="3"/>
    <x v="4"/>
    <s v="no"/>
    <n v="40"/>
    <s v="T4"/>
    <n v="138000"/>
    <n v="138000"/>
    <x v="1"/>
    <n v="0"/>
    <x v="1"/>
    <x v="3"/>
  </r>
  <r>
    <n v="18257"/>
    <s v="Octavio"/>
    <s v="Merino"/>
    <n v="22"/>
    <n v="4"/>
    <x v="0"/>
    <x v="2"/>
    <x v="4"/>
    <s v="no"/>
    <n v="20"/>
    <s v="T5"/>
    <n v="130000"/>
    <n v="65000"/>
    <x v="0"/>
    <n v="65000"/>
    <x v="0"/>
    <x v="5"/>
  </r>
  <r>
    <n v="11538"/>
    <s v="Alexander"/>
    <s v="Austin"/>
    <n v="39"/>
    <n v="10"/>
    <x v="1"/>
    <x v="3"/>
    <x v="5"/>
    <s v="yes"/>
    <n v="8"/>
    <s v="T5"/>
    <n v="140400"/>
    <n v="28080"/>
    <x v="0"/>
    <n v="112320"/>
    <x v="0"/>
    <x v="3"/>
  </r>
  <r>
    <n v="1591"/>
    <s v="Shane"/>
    <s v="Smith"/>
    <n v="36"/>
    <n v="14"/>
    <x v="1"/>
    <x v="1"/>
    <x v="2"/>
    <s v="yes"/>
    <n v="24"/>
    <s v="T1"/>
    <n v="73440"/>
    <n v="44064"/>
    <x v="0"/>
    <n v="29376"/>
    <x v="0"/>
    <x v="3"/>
  </r>
  <r>
    <n v="4466"/>
    <s v="Sean"/>
    <s v="Craig"/>
    <n v="38"/>
    <n v="11"/>
    <x v="1"/>
    <x v="2"/>
    <x v="3"/>
    <s v="no"/>
    <n v="20"/>
    <s v="T4"/>
    <n v="124200"/>
    <n v="62100"/>
    <x v="2"/>
    <n v="62100"/>
    <x v="0"/>
    <x v="3"/>
  </r>
  <r>
    <n v="9246"/>
    <s v="Katie"/>
    <s v="Rogers"/>
    <n v="46"/>
    <n v="8"/>
    <x v="0"/>
    <x v="0"/>
    <x v="2"/>
    <s v="no"/>
    <n v="40"/>
    <s v="T3"/>
    <n v="112121"/>
    <n v="112121"/>
    <x v="2"/>
    <n v="0"/>
    <x v="1"/>
    <x v="6"/>
  </r>
  <r>
    <n v="6538"/>
    <s v="Kimberly"/>
    <s v="Salazar"/>
    <n v="56"/>
    <n v="11"/>
    <x v="0"/>
    <x v="4"/>
    <x v="1"/>
    <s v="yes"/>
    <n v="24"/>
    <s v="T4"/>
    <n v="115000"/>
    <n v="69000"/>
    <x v="2"/>
    <n v="46000"/>
    <x v="0"/>
    <x v="1"/>
  </r>
  <r>
    <n v="19711"/>
    <s v="Robert"/>
    <s v="Baker"/>
    <n v="52"/>
    <n v="13"/>
    <x v="1"/>
    <x v="4"/>
    <x v="3"/>
    <s v="no"/>
    <n v="40"/>
    <s v="T1"/>
    <n v="87000"/>
    <n v="87000"/>
    <x v="1"/>
    <n v="0"/>
    <x v="1"/>
    <x v="1"/>
  </r>
  <r>
    <n v="9385"/>
    <s v="Travis"/>
    <s v="Colon"/>
    <n v="40"/>
    <n v="13"/>
    <x v="1"/>
    <x v="3"/>
    <x v="2"/>
    <s v="no"/>
    <n v="20"/>
    <s v="T1"/>
    <n v="73440"/>
    <n v="36720"/>
    <x v="1"/>
    <n v="36720"/>
    <x v="0"/>
    <x v="3"/>
  </r>
  <r>
    <n v="1940"/>
    <s v="Joshua"/>
    <s v="Harrison"/>
    <n v="45"/>
    <n v="12"/>
    <x v="1"/>
    <x v="3"/>
    <x v="1"/>
    <s v="no"/>
    <n v="40"/>
    <s v="T3"/>
    <n v="108933"/>
    <n v="108933"/>
    <x v="1"/>
    <n v="0"/>
    <x v="1"/>
    <x v="2"/>
  </r>
  <r>
    <n v="4239"/>
    <s v="Brooke"/>
    <s v="Kerr"/>
    <n v="40"/>
    <n v="9"/>
    <x v="0"/>
    <x v="2"/>
    <x v="3"/>
    <s v="no"/>
    <n v="20"/>
    <s v="T2"/>
    <n v="85000"/>
    <n v="42500"/>
    <x v="2"/>
    <n v="42500"/>
    <x v="0"/>
    <x v="3"/>
  </r>
  <r>
    <n v="21861"/>
    <s v="Gerónimo"/>
    <s v="Cano"/>
    <n v="30"/>
    <n v="5"/>
    <x v="1"/>
    <x v="0"/>
    <x v="0"/>
    <s v="no"/>
    <n v="20"/>
    <s v="T3"/>
    <n v="108320"/>
    <n v="54160"/>
    <x v="2"/>
    <n v="54160"/>
    <x v="0"/>
    <x v="4"/>
  </r>
  <r>
    <n v="15554"/>
    <s v="David"/>
    <s v="Bailey"/>
    <n v="64"/>
    <n v="6"/>
    <x v="1"/>
    <x v="1"/>
    <x v="1"/>
    <s v="no"/>
    <n v="20"/>
    <s v="T3"/>
    <n v="122000"/>
    <n v="61000"/>
    <x v="1"/>
    <n v="61000"/>
    <x v="0"/>
    <x v="1"/>
  </r>
  <r>
    <n v="20235"/>
    <s v="Lauren"/>
    <s v="Goodman"/>
    <n v="32"/>
    <n v="6"/>
    <x v="0"/>
    <x v="4"/>
    <x v="2"/>
    <s v="no"/>
    <n v="32"/>
    <s v="T3"/>
    <n v="98000"/>
    <n v="78400"/>
    <x v="1"/>
    <n v="19600"/>
    <x v="0"/>
    <x v="0"/>
  </r>
  <r>
    <n v="14926"/>
    <s v="Patrick"/>
    <s v="Jarvis"/>
    <n v="53"/>
    <n v="14"/>
    <x v="1"/>
    <x v="4"/>
    <x v="0"/>
    <s v="no"/>
    <n v="20"/>
    <s v="T2"/>
    <n v="107000"/>
    <n v="53500"/>
    <x v="2"/>
    <n v="53500"/>
    <x v="0"/>
    <x v="1"/>
  </r>
  <r>
    <n v="12014"/>
    <s v="Matthew"/>
    <s v="Jensen"/>
    <n v="45"/>
    <n v="11"/>
    <x v="1"/>
    <x v="0"/>
    <x v="0"/>
    <s v="yes"/>
    <n v="40"/>
    <s v="T5"/>
    <n v="147194"/>
    <n v="147194"/>
    <x v="1"/>
    <n v="0"/>
    <x v="1"/>
    <x v="2"/>
  </r>
  <r>
    <n v="10965"/>
    <s v="Sam"/>
    <s v="Archer"/>
    <n v="61"/>
    <n v="14"/>
    <x v="1"/>
    <x v="0"/>
    <x v="3"/>
    <s v="no"/>
    <n v="40"/>
    <s v="T2"/>
    <n v="91816"/>
    <n v="91816"/>
    <x v="0"/>
    <n v="0"/>
    <x v="1"/>
    <x v="1"/>
  </r>
  <r>
    <n v="14986"/>
    <s v="Cecilia"/>
    <s v="Velasco"/>
    <n v="31"/>
    <n v="13"/>
    <x v="0"/>
    <x v="1"/>
    <x v="3"/>
    <s v="no"/>
    <n v="24"/>
    <s v="T4"/>
    <n v="115000"/>
    <n v="69000"/>
    <x v="0"/>
    <n v="46000"/>
    <x v="0"/>
    <x v="0"/>
  </r>
  <r>
    <n v="20551"/>
    <s v="Darío"/>
    <s v="Benavídez"/>
    <n v="36"/>
    <n v="3"/>
    <x v="0"/>
    <x v="3"/>
    <x v="3"/>
    <s v="no"/>
    <n v="40"/>
    <s v="T2"/>
    <n v="95782"/>
    <n v="95782"/>
    <x v="2"/>
    <n v="0"/>
    <x v="1"/>
    <x v="3"/>
  </r>
  <r>
    <n v="17445"/>
    <s v="Georgina"/>
    <s v="Santiago"/>
    <n v="47"/>
    <n v="27"/>
    <x v="0"/>
    <x v="3"/>
    <x v="1"/>
    <s v="no"/>
    <n v="32"/>
    <s v="T3"/>
    <n v="102735"/>
    <n v="82188"/>
    <x v="2"/>
    <n v="20547"/>
    <x v="0"/>
    <x v="6"/>
  </r>
  <r>
    <n v="4476"/>
    <s v="Seth"/>
    <s v="Peterson"/>
    <n v="48"/>
    <n v="21"/>
    <x v="1"/>
    <x v="2"/>
    <x v="2"/>
    <s v="yes"/>
    <n v="16"/>
    <s v="T1"/>
    <n v="75264"/>
    <n v="30105.599999999999"/>
    <x v="2"/>
    <n v="45158.400000000001"/>
    <x v="0"/>
    <x v="6"/>
  </r>
  <r>
    <n v="13309"/>
    <s v="Edward"/>
    <s v="Gray"/>
    <n v="23"/>
    <n v="2"/>
    <x v="1"/>
    <x v="2"/>
    <x v="3"/>
    <s v="no"/>
    <n v="16"/>
    <s v="T1"/>
    <n v="80284"/>
    <n v="32113.599999999999"/>
    <x v="2"/>
    <n v="48170.400000000001"/>
    <x v="0"/>
    <x v="5"/>
  </r>
  <r>
    <n v="19580"/>
    <s v="Tina"/>
    <s v="Black"/>
    <n v="38"/>
    <n v="16"/>
    <x v="0"/>
    <x v="4"/>
    <x v="3"/>
    <s v="no"/>
    <n v="40"/>
    <s v="T2"/>
    <n v="94051"/>
    <n v="94051"/>
    <x v="1"/>
    <n v="0"/>
    <x v="1"/>
    <x v="3"/>
  </r>
  <r>
    <n v="6915"/>
    <s v="Lilia"/>
    <s v="León"/>
    <n v="38"/>
    <n v="17"/>
    <x v="1"/>
    <x v="0"/>
    <x v="2"/>
    <s v="no"/>
    <n v="40"/>
    <s v="T2"/>
    <n v="93522"/>
    <n v="93522"/>
    <x v="2"/>
    <n v="0"/>
    <x v="1"/>
    <x v="3"/>
  </r>
  <r>
    <n v="9033"/>
    <s v="Tara"/>
    <s v="Townsend"/>
    <n v="57"/>
    <n v="6"/>
    <x v="0"/>
    <x v="0"/>
    <x v="2"/>
    <s v="yes"/>
    <n v="40"/>
    <s v="T1"/>
    <n v="68575"/>
    <n v="68575"/>
    <x v="2"/>
    <n v="0"/>
    <x v="1"/>
    <x v="1"/>
  </r>
  <r>
    <n v="14926"/>
    <s v="Patrick"/>
    <s v="Jarvis"/>
    <n v="53"/>
    <n v="14"/>
    <x v="1"/>
    <x v="4"/>
    <x v="1"/>
    <s v="no"/>
    <n v="20"/>
    <s v="T2"/>
    <n v="107000"/>
    <n v="53500"/>
    <x v="2"/>
    <n v="53500"/>
    <x v="0"/>
    <x v="1"/>
  </r>
  <r>
    <n v="2141"/>
    <s v="Augusto"/>
    <s v="Ferrer"/>
    <n v="43"/>
    <n v="24"/>
    <x v="1"/>
    <x v="1"/>
    <x v="2"/>
    <s v="no"/>
    <n v="40"/>
    <s v="T3"/>
    <n v="112087"/>
    <n v="112087"/>
    <x v="1"/>
    <n v="0"/>
    <x v="1"/>
    <x v="2"/>
  </r>
  <r>
    <n v="14975"/>
    <s v="Tammy"/>
    <s v="Gates"/>
    <n v="30"/>
    <n v="11"/>
    <x v="0"/>
    <x v="2"/>
    <x v="3"/>
    <s v="no"/>
    <n v="20"/>
    <s v="T3"/>
    <n v="98000"/>
    <n v="49000"/>
    <x v="0"/>
    <n v="49000"/>
    <x v="0"/>
    <x v="4"/>
  </r>
  <r>
    <n v="742"/>
    <s v="Ronnie"/>
    <s v="Anderson"/>
    <n v="48"/>
    <n v="9"/>
    <x v="1"/>
    <x v="1"/>
    <x v="2"/>
    <s v="no"/>
    <n v="20"/>
    <s v="T2"/>
    <n v="91800"/>
    <n v="45900"/>
    <x v="0"/>
    <n v="45900"/>
    <x v="0"/>
    <x v="6"/>
  </r>
  <r>
    <n v="17723"/>
    <s v="Sara"/>
    <s v="Velasco"/>
    <n v="31"/>
    <n v="5"/>
    <x v="0"/>
    <x v="3"/>
    <x v="3"/>
    <s v="no"/>
    <n v="24"/>
    <s v="T1"/>
    <n v="68000"/>
    <n v="40800"/>
    <x v="2"/>
    <n v="27200"/>
    <x v="0"/>
    <x v="0"/>
  </r>
  <r>
    <n v="18330"/>
    <s v="Annette"/>
    <s v="Nicholson"/>
    <n v="40"/>
    <n v="3"/>
    <x v="0"/>
    <x v="0"/>
    <x v="1"/>
    <s v="no"/>
    <n v="20"/>
    <s v="T4"/>
    <n v="124027"/>
    <n v="62013.5"/>
    <x v="1"/>
    <n v="62013.5"/>
    <x v="0"/>
    <x v="3"/>
  </r>
  <r>
    <n v="22662"/>
    <s v="Joshua"/>
    <s v="Knight"/>
    <n v="36"/>
    <n v="16"/>
    <x v="1"/>
    <x v="2"/>
    <x v="1"/>
    <s v="no"/>
    <n v="40"/>
    <s v="T3"/>
    <n v="117807"/>
    <n v="117807"/>
    <x v="2"/>
    <n v="0"/>
    <x v="1"/>
    <x v="3"/>
  </r>
  <r>
    <n v="7143"/>
    <s v="Anthony"/>
    <s v="Brown"/>
    <n v="34"/>
    <n v="6"/>
    <x v="1"/>
    <x v="3"/>
    <x v="3"/>
    <s v="no"/>
    <n v="20"/>
    <s v="T4"/>
    <n v="124200"/>
    <n v="62100"/>
    <x v="2"/>
    <n v="62100"/>
    <x v="0"/>
    <x v="0"/>
  </r>
  <r>
    <n v="12621"/>
    <s v="Tracy"/>
    <s v="Cooke"/>
    <n v="41"/>
    <n v="23"/>
    <x v="0"/>
    <x v="3"/>
    <x v="3"/>
    <s v="no"/>
    <n v="40"/>
    <s v="T3"/>
    <n v="105672"/>
    <n v="105672"/>
    <x v="2"/>
    <n v="0"/>
    <x v="1"/>
    <x v="2"/>
  </r>
  <r>
    <n v="14819"/>
    <s v="David"/>
    <s v="Lee"/>
    <n v="54"/>
    <n v="36"/>
    <x v="1"/>
    <x v="2"/>
    <x v="3"/>
    <s v="yes"/>
    <n v="20"/>
    <s v="T1"/>
    <n v="73440"/>
    <n v="36720"/>
    <x v="0"/>
    <n v="36720"/>
    <x v="0"/>
    <x v="1"/>
  </r>
  <r>
    <n v="2979"/>
    <s v="Jill"/>
    <s v="Sullivan"/>
    <n v="54"/>
    <n v="21"/>
    <x v="0"/>
    <x v="1"/>
    <x v="3"/>
    <s v="yes"/>
    <n v="16"/>
    <s v="T3"/>
    <n v="98000"/>
    <n v="39200"/>
    <x v="0"/>
    <n v="58800"/>
    <x v="0"/>
    <x v="1"/>
  </r>
  <r>
    <n v="22452"/>
    <s v="Diane"/>
    <s v="Brown"/>
    <n v="61"/>
    <n v="40"/>
    <x v="0"/>
    <x v="1"/>
    <x v="5"/>
    <s v="yes"/>
    <n v="32"/>
    <s v="T5"/>
    <n v="130000"/>
    <n v="104000"/>
    <x v="0"/>
    <n v="26000"/>
    <x v="0"/>
    <x v="1"/>
  </r>
  <r>
    <n v="11506"/>
    <s v="Наркис"/>
    <s v="Харитонов"/>
    <n v="34"/>
    <n v="9"/>
    <x v="1"/>
    <x v="4"/>
    <x v="1"/>
    <s v="no"/>
    <n v="40"/>
    <s v="T4"/>
    <n v="138000"/>
    <n v="138000"/>
    <x v="1"/>
    <n v="0"/>
    <x v="1"/>
    <x v="0"/>
  </r>
  <r>
    <n v="21106"/>
    <s v="Guillermo"/>
    <s v="Jaramillo"/>
    <n v="34"/>
    <n v="2"/>
    <x v="0"/>
    <x v="1"/>
    <x v="3"/>
    <s v="no"/>
    <n v="40"/>
    <s v="T2"/>
    <n v="88356"/>
    <n v="88356"/>
    <x v="1"/>
    <n v="0"/>
    <x v="1"/>
    <x v="0"/>
  </r>
  <r>
    <n v="10973"/>
    <s v="William"/>
    <s v="Anderson"/>
    <n v="46"/>
    <n v="12"/>
    <x v="1"/>
    <x v="0"/>
    <x v="0"/>
    <s v="no"/>
    <n v="40"/>
    <s v="T4"/>
    <n v="138000"/>
    <n v="138000"/>
    <x v="2"/>
    <n v="0"/>
    <x v="1"/>
    <x v="6"/>
  </r>
  <r>
    <n v="4770"/>
    <s v="Bernabé"/>
    <s v="Niño"/>
    <n v="64"/>
    <n v="2"/>
    <x v="1"/>
    <x v="0"/>
    <x v="3"/>
    <s v="no"/>
    <n v="40"/>
    <s v="T3"/>
    <n v="122000"/>
    <n v="122000"/>
    <x v="1"/>
    <n v="0"/>
    <x v="1"/>
    <x v="1"/>
  </r>
  <r>
    <n v="10527"/>
    <s v="Bethany"/>
    <s v="Mullins"/>
    <n v="28"/>
    <n v="5"/>
    <x v="0"/>
    <x v="4"/>
    <x v="3"/>
    <s v="no"/>
    <n v="20"/>
    <s v="T1"/>
    <n v="68000"/>
    <n v="34000"/>
    <x v="2"/>
    <n v="34000"/>
    <x v="0"/>
    <x v="4"/>
  </r>
  <r>
    <n v="17304"/>
    <s v="Sierra"/>
    <s v="Landry"/>
    <n v="54"/>
    <n v="12"/>
    <x v="0"/>
    <x v="2"/>
    <x v="0"/>
    <s v="no"/>
    <n v="32"/>
    <s v="T3"/>
    <n v="98000"/>
    <n v="78400"/>
    <x v="2"/>
    <n v="19600"/>
    <x v="0"/>
    <x v="1"/>
  </r>
  <r>
    <n v="10821"/>
    <s v="María Eugenia"/>
    <s v="Negrón"/>
    <n v="42"/>
    <n v="13"/>
    <x v="0"/>
    <x v="4"/>
    <x v="2"/>
    <s v="no"/>
    <n v="16"/>
    <s v="T1"/>
    <n v="68203"/>
    <n v="27281.200000000001"/>
    <x v="2"/>
    <n v="40921.800000000003"/>
    <x v="0"/>
    <x v="2"/>
  </r>
  <r>
    <n v="22539"/>
    <s v="Alvin"/>
    <s v="Vazquez"/>
    <n v="36"/>
    <n v="1"/>
    <x v="1"/>
    <x v="1"/>
    <x v="3"/>
    <s v="no"/>
    <n v="40"/>
    <s v="T4"/>
    <n v="138000"/>
    <n v="138000"/>
    <x v="1"/>
    <n v="0"/>
    <x v="1"/>
    <x v="3"/>
  </r>
  <r>
    <n v="14069"/>
    <s v="Michael"/>
    <s v="Wilkinson"/>
    <n v="42"/>
    <n v="10"/>
    <x v="1"/>
    <x v="1"/>
    <x v="2"/>
    <s v="no"/>
    <n v="40"/>
    <s v="T3"/>
    <n v="106646"/>
    <n v="106646"/>
    <x v="2"/>
    <n v="0"/>
    <x v="1"/>
    <x v="2"/>
  </r>
  <r>
    <n v="11375"/>
    <s v="Gillian"/>
    <s v="Carpenter"/>
    <n v="35"/>
    <n v="3"/>
    <x v="0"/>
    <x v="4"/>
    <x v="3"/>
    <s v="no"/>
    <n v="40"/>
    <s v="T3"/>
    <n v="98000"/>
    <n v="98000"/>
    <x v="2"/>
    <n v="0"/>
    <x v="1"/>
    <x v="0"/>
  </r>
  <r>
    <n v="13872"/>
    <s v="Michael"/>
    <s v="Tran"/>
    <n v="56"/>
    <n v="18"/>
    <x v="1"/>
    <x v="2"/>
    <x v="3"/>
    <s v="no"/>
    <n v="32"/>
    <s v="T1"/>
    <n v="79700"/>
    <n v="63760"/>
    <x v="0"/>
    <n v="15940"/>
    <x v="0"/>
    <x v="1"/>
  </r>
  <r>
    <n v="10375"/>
    <s v="Manuel"/>
    <s v="Herrera"/>
    <n v="45"/>
    <n v="27"/>
    <x v="1"/>
    <x v="3"/>
    <x v="0"/>
    <s v="yes"/>
    <n v="20"/>
    <s v="T4"/>
    <n v="125195"/>
    <n v="62597.5"/>
    <x v="2"/>
    <n v="62597.5"/>
    <x v="0"/>
    <x v="2"/>
  </r>
  <r>
    <n v="18853"/>
    <s v="Arcelia"/>
    <s v="Navarrete"/>
    <n v="34"/>
    <n v="13"/>
    <x v="1"/>
    <x v="1"/>
    <x v="1"/>
    <s v="no"/>
    <n v="40"/>
    <s v="T3"/>
    <n v="121217"/>
    <n v="121217"/>
    <x v="1"/>
    <n v="0"/>
    <x v="1"/>
    <x v="0"/>
  </r>
  <r>
    <n v="21639"/>
    <s v="Susan"/>
    <s v="Gomez"/>
    <n v="32"/>
    <n v="2"/>
    <x v="0"/>
    <x v="0"/>
    <x v="1"/>
    <s v="no"/>
    <n v="20"/>
    <s v="T4"/>
    <n v="118086"/>
    <n v="59043"/>
    <x v="0"/>
    <n v="59043"/>
    <x v="0"/>
    <x v="0"/>
  </r>
  <r>
    <n v="4857"/>
    <s v="Aurora"/>
    <s v="Adame"/>
    <n v="49"/>
    <n v="18"/>
    <x v="1"/>
    <x v="3"/>
    <x v="1"/>
    <s v="no"/>
    <n v="40"/>
    <s v="T2"/>
    <n v="103090"/>
    <n v="103090"/>
    <x v="1"/>
    <n v="0"/>
    <x v="1"/>
    <x v="6"/>
  </r>
  <r>
    <n v="6973"/>
    <s v="Derek"/>
    <s v="Vasquez"/>
    <n v="46"/>
    <n v="11"/>
    <x v="1"/>
    <x v="3"/>
    <x v="2"/>
    <s v="no"/>
    <n v="40"/>
    <s v="T3"/>
    <n v="119761"/>
    <n v="119761"/>
    <x v="1"/>
    <n v="0"/>
    <x v="1"/>
    <x v="6"/>
  </r>
  <r>
    <n v="14464"/>
    <s v="Crystal"/>
    <s v="Lopez"/>
    <n v="42"/>
    <n v="9"/>
    <x v="0"/>
    <x v="0"/>
    <x v="2"/>
    <s v="yes"/>
    <n v="40"/>
    <s v="T3"/>
    <n v="104615"/>
    <n v="104615"/>
    <x v="0"/>
    <n v="0"/>
    <x v="1"/>
    <x v="2"/>
  </r>
  <r>
    <n v="22475"/>
    <s v="Jennifer"/>
    <s v="Hudson"/>
    <n v="38"/>
    <n v="12"/>
    <x v="0"/>
    <x v="3"/>
    <x v="0"/>
    <s v="no"/>
    <n v="20"/>
    <s v="T3"/>
    <n v="98346"/>
    <n v="49173"/>
    <x v="0"/>
    <n v="49173"/>
    <x v="0"/>
    <x v="3"/>
  </r>
  <r>
    <n v="13110"/>
    <s v="Cynthia"/>
    <s v="Ortiz"/>
    <n v="36"/>
    <n v="7"/>
    <x v="0"/>
    <x v="1"/>
    <x v="3"/>
    <s v="no"/>
    <n v="20"/>
    <s v="T2"/>
    <n v="85000"/>
    <n v="42500"/>
    <x v="0"/>
    <n v="42500"/>
    <x v="0"/>
    <x v="3"/>
  </r>
  <r>
    <n v="6389"/>
    <s v="Lynn"/>
    <s v="Davis"/>
    <n v="22"/>
    <n v="2"/>
    <x v="0"/>
    <x v="2"/>
    <x v="1"/>
    <s v="no"/>
    <n v="32"/>
    <s v="T3"/>
    <n v="98000"/>
    <n v="78400"/>
    <x v="0"/>
    <n v="19600"/>
    <x v="0"/>
    <x v="5"/>
  </r>
  <r>
    <n v="20856"/>
    <s v="Gabriella"/>
    <s v="Gibbs"/>
    <n v="50"/>
    <n v="8"/>
    <x v="0"/>
    <x v="2"/>
    <x v="1"/>
    <s v="no"/>
    <n v="20"/>
    <s v="T4"/>
    <n v="115000"/>
    <n v="57500"/>
    <x v="2"/>
    <n v="57500"/>
    <x v="0"/>
    <x v="1"/>
  </r>
  <r>
    <n v="19335"/>
    <s v="Laura"/>
    <s v="Jackson"/>
    <n v="59"/>
    <n v="33"/>
    <x v="0"/>
    <x v="3"/>
    <x v="0"/>
    <s v="yes"/>
    <n v="40"/>
    <s v="T5"/>
    <n v="130000"/>
    <n v="130000"/>
    <x v="0"/>
    <n v="0"/>
    <x v="1"/>
    <x v="1"/>
  </r>
  <r>
    <n v="10548"/>
    <s v="Karen"/>
    <s v="Branch"/>
    <n v="52"/>
    <n v="6"/>
    <x v="0"/>
    <x v="4"/>
    <x v="4"/>
    <s v="yes"/>
    <n v="20"/>
    <s v="T3"/>
    <n v="98000"/>
    <n v="49000"/>
    <x v="2"/>
    <n v="49000"/>
    <x v="0"/>
    <x v="1"/>
  </r>
  <r>
    <n v="13993"/>
    <s v="Luisa"/>
    <s v="Valenzuela"/>
    <n v="50"/>
    <n v="9"/>
    <x v="0"/>
    <x v="4"/>
    <x v="3"/>
    <s v="no"/>
    <n v="40"/>
    <s v="T3"/>
    <n v="104260"/>
    <n v="104260"/>
    <x v="2"/>
    <n v="0"/>
    <x v="1"/>
    <x v="1"/>
  </r>
  <r>
    <n v="18641"/>
    <s v="Carmen"/>
    <s v="Rivero"/>
    <n v="34"/>
    <n v="12"/>
    <x v="0"/>
    <x v="2"/>
    <x v="1"/>
    <s v="no"/>
    <n v="16"/>
    <s v="T2"/>
    <n v="85000"/>
    <n v="34000"/>
    <x v="0"/>
    <n v="51000"/>
    <x v="0"/>
    <x v="0"/>
  </r>
  <r>
    <n v="700"/>
    <s v="Richard"/>
    <s v="Olson"/>
    <n v="39"/>
    <n v="18"/>
    <x v="1"/>
    <x v="4"/>
    <x v="3"/>
    <s v="no"/>
    <n v="40"/>
    <s v="T2"/>
    <n v="101614"/>
    <n v="101614"/>
    <x v="1"/>
    <n v="0"/>
    <x v="1"/>
    <x v="3"/>
  </r>
  <r>
    <n v="10169"/>
    <s v="Tina"/>
    <s v="Williams"/>
    <n v="42"/>
    <n v="5"/>
    <x v="0"/>
    <x v="0"/>
    <x v="0"/>
    <s v="no"/>
    <n v="20"/>
    <s v="T3"/>
    <n v="98000"/>
    <n v="49000"/>
    <x v="2"/>
    <n v="49000"/>
    <x v="0"/>
    <x v="2"/>
  </r>
  <r>
    <n v="10644"/>
    <s v="Yolanda"/>
    <s v="Gibson"/>
    <n v="29"/>
    <n v="1"/>
    <x v="0"/>
    <x v="2"/>
    <x v="1"/>
    <s v="no"/>
    <n v="20"/>
    <s v="T2"/>
    <n v="85116"/>
    <n v="42558"/>
    <x v="2"/>
    <n v="42558"/>
    <x v="0"/>
    <x v="4"/>
  </r>
  <r>
    <n v="10088"/>
    <s v="Clara"/>
    <s v="Benítez"/>
    <n v="57"/>
    <n v="3"/>
    <x v="1"/>
    <x v="1"/>
    <x v="1"/>
    <s v="no"/>
    <n v="40"/>
    <s v="T2"/>
    <n v="102050"/>
    <n v="102050"/>
    <x v="1"/>
    <n v="0"/>
    <x v="1"/>
    <x v="1"/>
  </r>
  <r>
    <n v="7574"/>
    <s v="Gregory"/>
    <s v="Lynch"/>
    <n v="21"/>
    <n v="1"/>
    <x v="1"/>
    <x v="0"/>
    <x v="1"/>
    <s v="no"/>
    <n v="20"/>
    <s v="T4"/>
    <n v="138000"/>
    <n v="69000"/>
    <x v="1"/>
    <n v="69000"/>
    <x v="0"/>
    <x v="5"/>
  </r>
  <r>
    <n v="14773"/>
    <s v="Christina"/>
    <s v="Clark"/>
    <n v="42"/>
    <n v="20"/>
    <x v="0"/>
    <x v="4"/>
    <x v="6"/>
    <s v="no"/>
    <n v="16"/>
    <s v="T2"/>
    <n v="86880"/>
    <n v="34752"/>
    <x v="0"/>
    <n v="52128"/>
    <x v="0"/>
    <x v="2"/>
  </r>
  <r>
    <n v="19691"/>
    <s v="Alyssa"/>
    <s v="Webster"/>
    <n v="33"/>
    <n v="9"/>
    <x v="0"/>
    <x v="3"/>
    <x v="1"/>
    <s v="no"/>
    <n v="40"/>
    <s v="T2"/>
    <n v="85000"/>
    <n v="85000"/>
    <x v="2"/>
    <n v="0"/>
    <x v="1"/>
    <x v="0"/>
  </r>
  <r>
    <n v="20566"/>
    <s v="Charles"/>
    <s v="Bailey"/>
    <n v="46"/>
    <n v="2"/>
    <x v="1"/>
    <x v="2"/>
    <x v="1"/>
    <s v="no"/>
    <n v="16"/>
    <s v="T2"/>
    <n v="91800"/>
    <n v="36720"/>
    <x v="2"/>
    <n v="55080"/>
    <x v="0"/>
    <x v="6"/>
  </r>
  <r>
    <n v="22140"/>
    <s v="Mariano"/>
    <s v="Rodarte"/>
    <n v="21"/>
    <n v="3"/>
    <x v="0"/>
    <x v="4"/>
    <x v="2"/>
    <s v="no"/>
    <n v="40"/>
    <s v="T3"/>
    <n v="98699"/>
    <n v="98699"/>
    <x v="2"/>
    <n v="0"/>
    <x v="1"/>
    <x v="5"/>
  </r>
  <r>
    <n v="11246"/>
    <s v="Leah"/>
    <s v="Maxwell"/>
    <n v="28"/>
    <n v="5"/>
    <x v="0"/>
    <x v="3"/>
    <x v="1"/>
    <s v="no"/>
    <n v="20"/>
    <s v="T2"/>
    <n v="85000"/>
    <n v="42500"/>
    <x v="2"/>
    <n v="42500"/>
    <x v="0"/>
    <x v="4"/>
  </r>
  <r>
    <n v="10375"/>
    <s v="Manuel"/>
    <s v="Herrera"/>
    <n v="45"/>
    <n v="27"/>
    <x v="1"/>
    <x v="3"/>
    <x v="1"/>
    <s v="yes"/>
    <n v="20"/>
    <s v="T4"/>
    <n v="125195"/>
    <n v="62597.5"/>
    <x v="2"/>
    <n v="62597.5"/>
    <x v="0"/>
    <x v="2"/>
  </r>
  <r>
    <n v="15923"/>
    <s v="Rachel"/>
    <s v="Jones"/>
    <n v="49"/>
    <n v="1"/>
    <x v="0"/>
    <x v="2"/>
    <x v="3"/>
    <s v="no"/>
    <n v="40"/>
    <s v="T3"/>
    <n v="106388"/>
    <n v="106388"/>
    <x v="2"/>
    <n v="0"/>
    <x v="1"/>
    <x v="6"/>
  </r>
  <r>
    <n v="15163"/>
    <s v="Michelle"/>
    <s v="Ochoa"/>
    <n v="41"/>
    <n v="12"/>
    <x v="0"/>
    <x v="2"/>
    <x v="1"/>
    <s v="no"/>
    <n v="40"/>
    <s v="T2"/>
    <n v="92898"/>
    <n v="92898"/>
    <x v="2"/>
    <n v="0"/>
    <x v="1"/>
    <x v="2"/>
  </r>
  <r>
    <n v="15175"/>
    <s v="Anthony"/>
    <s v="Nelson"/>
    <n v="39"/>
    <n v="12"/>
    <x v="1"/>
    <x v="3"/>
    <x v="1"/>
    <s v="yes"/>
    <n v="8"/>
    <s v="T2"/>
    <n v="91800"/>
    <n v="18360"/>
    <x v="2"/>
    <n v="73440"/>
    <x v="0"/>
    <x v="3"/>
  </r>
  <r>
    <n v="7689"/>
    <s v="Ruth"/>
    <s v="Spencer"/>
    <n v="50"/>
    <n v="21"/>
    <x v="0"/>
    <x v="0"/>
    <x v="3"/>
    <s v="no"/>
    <n v="32"/>
    <s v="T4"/>
    <n v="115000"/>
    <n v="92000"/>
    <x v="2"/>
    <n v="23000"/>
    <x v="0"/>
    <x v="1"/>
  </r>
  <r>
    <n v="17437"/>
    <s v="Isaac"/>
    <s v="Mateo"/>
    <n v="58"/>
    <n v="19"/>
    <x v="1"/>
    <x v="2"/>
    <x v="5"/>
    <s v="yes"/>
    <n v="8"/>
    <s v="T4"/>
    <n v="124200"/>
    <n v="24840"/>
    <x v="2"/>
    <n v="99360"/>
    <x v="0"/>
    <x v="1"/>
  </r>
  <r>
    <n v="16192"/>
    <s v="Elisa"/>
    <s v="Piña"/>
    <n v="30"/>
    <n v="0"/>
    <x v="0"/>
    <x v="0"/>
    <x v="2"/>
    <s v="no"/>
    <n v="40"/>
    <s v="T1"/>
    <n v="68309"/>
    <n v="68309"/>
    <x v="2"/>
    <n v="0"/>
    <x v="1"/>
    <x v="4"/>
  </r>
  <r>
    <n v="6247"/>
    <s v="Wilfrido"/>
    <s v="Páez"/>
    <n v="59"/>
    <n v="5"/>
    <x v="1"/>
    <x v="0"/>
    <x v="0"/>
    <s v="no"/>
    <n v="20"/>
    <s v="T5"/>
    <n v="142279"/>
    <n v="71139.5"/>
    <x v="2"/>
    <n v="71139.5"/>
    <x v="0"/>
    <x v="1"/>
  </r>
  <r>
    <n v="22276"/>
    <s v="Daniel"/>
    <s v="Roth"/>
    <n v="23"/>
    <n v="2"/>
    <x v="1"/>
    <x v="2"/>
    <x v="3"/>
    <s v="no"/>
    <n v="40"/>
    <s v="T2"/>
    <n v="104237"/>
    <n v="104237"/>
    <x v="1"/>
    <n v="0"/>
    <x v="1"/>
    <x v="5"/>
  </r>
  <r>
    <n v="3465"/>
    <s v="Robert"/>
    <s v="Parks"/>
    <n v="47"/>
    <n v="29"/>
    <x v="1"/>
    <x v="1"/>
    <x v="6"/>
    <s v="yes"/>
    <n v="32"/>
    <s v="T5"/>
    <n v="148825"/>
    <n v="119060"/>
    <x v="2"/>
    <n v="29765"/>
    <x v="0"/>
    <x v="6"/>
  </r>
  <r>
    <n v="9986"/>
    <s v="Lindsay"/>
    <s v="Farrell"/>
    <n v="31"/>
    <n v="7"/>
    <x v="0"/>
    <x v="4"/>
    <x v="3"/>
    <s v="no"/>
    <n v="32"/>
    <s v="T1"/>
    <n v="68000"/>
    <n v="54400"/>
    <x v="0"/>
    <n v="13600"/>
    <x v="0"/>
    <x v="0"/>
  </r>
  <r>
    <n v="17577"/>
    <s v="Joshua"/>
    <s v="Thomas"/>
    <n v="54"/>
    <n v="33"/>
    <x v="1"/>
    <x v="3"/>
    <x v="1"/>
    <s v="yes"/>
    <n v="40"/>
    <s v="T3"/>
    <n v="122000"/>
    <n v="122000"/>
    <x v="1"/>
    <n v="0"/>
    <x v="1"/>
    <x v="1"/>
  </r>
  <r>
    <n v="22440"/>
    <s v="Matthew"/>
    <s v="Jones"/>
    <n v="40"/>
    <n v="12"/>
    <x v="1"/>
    <x v="1"/>
    <x v="2"/>
    <s v="no"/>
    <n v="32"/>
    <s v="T2"/>
    <n v="98927"/>
    <n v="79141.600000000006"/>
    <x v="2"/>
    <n v="19785.399999999994"/>
    <x v="0"/>
    <x v="3"/>
  </r>
  <r>
    <n v="21427"/>
    <s v="Jasmine"/>
    <s v="Johnson"/>
    <n v="34"/>
    <n v="4"/>
    <x v="0"/>
    <x v="4"/>
    <x v="4"/>
    <s v="no"/>
    <n v="24"/>
    <s v="T4"/>
    <n v="115000"/>
    <n v="69000"/>
    <x v="2"/>
    <n v="46000"/>
    <x v="0"/>
    <x v="0"/>
  </r>
  <r>
    <n v="20978"/>
    <s v="Aldonza"/>
    <s v="Sierra"/>
    <n v="59"/>
    <n v="37"/>
    <x v="0"/>
    <x v="2"/>
    <x v="3"/>
    <s v="no"/>
    <n v="40"/>
    <s v="T2"/>
    <n v="93374"/>
    <n v="93374"/>
    <x v="2"/>
    <n v="0"/>
    <x v="1"/>
    <x v="1"/>
  </r>
  <r>
    <n v="11670"/>
    <s v="Rebecca"/>
    <s v="Calhoun"/>
    <n v="23"/>
    <n v="4"/>
    <x v="0"/>
    <x v="2"/>
    <x v="1"/>
    <s v="no"/>
    <n v="40"/>
    <s v="T4"/>
    <n v="115000"/>
    <n v="115000"/>
    <x v="2"/>
    <n v="0"/>
    <x v="1"/>
    <x v="5"/>
  </r>
  <r>
    <n v="3747"/>
    <s v="Tyler"/>
    <s v="Smith"/>
    <n v="40"/>
    <n v="3"/>
    <x v="1"/>
    <x v="1"/>
    <x v="6"/>
    <s v="no"/>
    <n v="20"/>
    <s v="T2"/>
    <n v="91800"/>
    <n v="45900"/>
    <x v="0"/>
    <n v="45900"/>
    <x v="0"/>
    <x v="3"/>
  </r>
  <r>
    <n v="8383"/>
    <s v="David"/>
    <s v="Gonzalez"/>
    <n v="58"/>
    <n v="7"/>
    <x v="1"/>
    <x v="0"/>
    <x v="1"/>
    <s v="yes"/>
    <n v="40"/>
    <s v="T5"/>
    <n v="141007"/>
    <n v="141007"/>
    <x v="2"/>
    <n v="0"/>
    <x v="1"/>
    <x v="1"/>
  </r>
  <r>
    <n v="10858"/>
    <s v="Richard"/>
    <s v="Dean"/>
    <n v="53"/>
    <n v="33"/>
    <x v="1"/>
    <x v="2"/>
    <x v="3"/>
    <s v="no"/>
    <n v="40"/>
    <s v="T3"/>
    <n v="107807"/>
    <n v="107807"/>
    <x v="2"/>
    <n v="0"/>
    <x v="1"/>
    <x v="1"/>
  </r>
  <r>
    <n v="8048"/>
    <s v="Diana"/>
    <s v="Rodriguez"/>
    <n v="56"/>
    <n v="6"/>
    <x v="0"/>
    <x v="0"/>
    <x v="3"/>
    <s v="no"/>
    <n v="40"/>
    <s v="T4"/>
    <n v="122474"/>
    <n v="122474"/>
    <x v="1"/>
    <n v="0"/>
    <x v="1"/>
    <x v="1"/>
  </r>
  <r>
    <n v="7212"/>
    <s v="Alonso"/>
    <s v="Aguilar"/>
    <n v="36"/>
    <n v="15"/>
    <x v="0"/>
    <x v="4"/>
    <x v="2"/>
    <s v="no"/>
    <n v="32"/>
    <s v="T3"/>
    <n v="98000"/>
    <n v="78400"/>
    <x v="0"/>
    <n v="19600"/>
    <x v="0"/>
    <x v="3"/>
  </r>
  <r>
    <n v="5515"/>
    <s v="José"/>
    <s v="Portillo"/>
    <n v="48"/>
    <n v="21"/>
    <x v="0"/>
    <x v="2"/>
    <x v="4"/>
    <s v="yes"/>
    <n v="20"/>
    <s v="T4"/>
    <n v="115000"/>
    <n v="57500"/>
    <x v="0"/>
    <n v="57500"/>
    <x v="0"/>
    <x v="6"/>
  </r>
  <r>
    <n v="1487"/>
    <s v="Natasha"/>
    <s v="Green"/>
    <n v="60"/>
    <n v="34"/>
    <x v="0"/>
    <x v="3"/>
    <x v="0"/>
    <s v="yes"/>
    <n v="32"/>
    <s v="T3"/>
    <n v="98000"/>
    <n v="78400"/>
    <x v="0"/>
    <n v="19600"/>
    <x v="0"/>
    <x v="1"/>
  </r>
  <r>
    <n v="2201"/>
    <s v="Kendra"/>
    <s v="Thompson"/>
    <n v="37"/>
    <n v="14"/>
    <x v="0"/>
    <x v="3"/>
    <x v="2"/>
    <s v="no"/>
    <n v="40"/>
    <s v="T2"/>
    <n v="85000"/>
    <n v="85000"/>
    <x v="2"/>
    <n v="0"/>
    <x v="1"/>
    <x v="3"/>
  </r>
  <r>
    <n v="8710"/>
    <s v="Amy"/>
    <s v="Dean"/>
    <n v="39"/>
    <n v="12"/>
    <x v="0"/>
    <x v="4"/>
    <x v="3"/>
    <s v="no"/>
    <n v="40"/>
    <s v="T2"/>
    <n v="85000"/>
    <n v="85000"/>
    <x v="2"/>
    <n v="0"/>
    <x v="1"/>
    <x v="3"/>
  </r>
  <r>
    <n v="16256"/>
    <s v="Alfred"/>
    <s v="Kelly"/>
    <n v="39"/>
    <n v="13"/>
    <x v="1"/>
    <x v="2"/>
    <x v="1"/>
    <s v="no"/>
    <n v="20"/>
    <s v="T4"/>
    <n v="124200"/>
    <n v="62100"/>
    <x v="2"/>
    <n v="62100"/>
    <x v="0"/>
    <x v="3"/>
  </r>
  <r>
    <n v="20717"/>
    <s v="Jerry"/>
    <s v="Walker"/>
    <n v="52"/>
    <n v="10"/>
    <x v="1"/>
    <x v="1"/>
    <x v="1"/>
    <s v="no"/>
    <n v="40"/>
    <s v="T3"/>
    <n v="122000"/>
    <n v="122000"/>
    <x v="1"/>
    <n v="0"/>
    <x v="1"/>
    <x v="1"/>
  </r>
  <r>
    <n v="3073"/>
    <s v="Jeffrey"/>
    <s v="Santiago"/>
    <n v="31"/>
    <n v="3"/>
    <x v="1"/>
    <x v="1"/>
    <x v="1"/>
    <s v="no"/>
    <n v="40"/>
    <s v="T2"/>
    <n v="96045"/>
    <n v="96045"/>
    <x v="2"/>
    <n v="0"/>
    <x v="1"/>
    <x v="0"/>
  </r>
  <r>
    <n v="15610"/>
    <s v="Влас"/>
    <s v="Мартынов"/>
    <n v="28"/>
    <n v="5"/>
    <x v="1"/>
    <x v="1"/>
    <x v="2"/>
    <s v="no"/>
    <n v="16"/>
    <s v="T1"/>
    <n v="73910"/>
    <n v="29564"/>
    <x v="1"/>
    <n v="44346"/>
    <x v="0"/>
    <x v="4"/>
  </r>
  <r>
    <n v="14267"/>
    <s v="Linda"/>
    <s v="Pineda"/>
    <n v="43"/>
    <n v="7"/>
    <x v="0"/>
    <x v="0"/>
    <x v="6"/>
    <s v="yes"/>
    <n v="40"/>
    <s v="T5"/>
    <n v="138652"/>
    <n v="138652"/>
    <x v="2"/>
    <n v="0"/>
    <x v="1"/>
    <x v="2"/>
  </r>
  <r>
    <n v="21323"/>
    <s v="Lori"/>
    <s v="Downs"/>
    <n v="30"/>
    <n v="5"/>
    <x v="0"/>
    <x v="3"/>
    <x v="1"/>
    <s v="no"/>
    <n v="40"/>
    <s v="T3"/>
    <n v="111575"/>
    <n v="111575"/>
    <x v="2"/>
    <n v="0"/>
    <x v="1"/>
    <x v="4"/>
  </r>
  <r>
    <n v="19550"/>
    <s v="Jeffrey"/>
    <s v="Thompson"/>
    <n v="36"/>
    <n v="9"/>
    <x v="1"/>
    <x v="1"/>
    <x v="1"/>
    <s v="no"/>
    <n v="20"/>
    <s v="T3"/>
    <n v="110458"/>
    <n v="55229"/>
    <x v="1"/>
    <n v="55229"/>
    <x v="0"/>
    <x v="3"/>
  </r>
  <r>
    <n v="7058"/>
    <s v="Nicole"/>
    <s v="Rodriguez"/>
    <n v="44"/>
    <n v="1"/>
    <x v="0"/>
    <x v="1"/>
    <x v="3"/>
    <s v="yes"/>
    <n v="24"/>
    <s v="T1"/>
    <n v="68000"/>
    <n v="40800"/>
    <x v="2"/>
    <n v="27200"/>
    <x v="0"/>
    <x v="2"/>
  </r>
  <r>
    <n v="13269"/>
    <s v="Antonia"/>
    <s v="Briseño"/>
    <n v="26"/>
    <n v="6"/>
    <x v="1"/>
    <x v="1"/>
    <x v="1"/>
    <s v="no"/>
    <n v="32"/>
    <s v="T3"/>
    <n v="105840"/>
    <n v="84672"/>
    <x v="0"/>
    <n v="21168"/>
    <x v="0"/>
    <x v="4"/>
  </r>
  <r>
    <n v="16886"/>
    <s v="Diego"/>
    <s v="Montañez"/>
    <n v="34"/>
    <n v="1"/>
    <x v="0"/>
    <x v="1"/>
    <x v="4"/>
    <s v="no"/>
    <n v="16"/>
    <s v="T5"/>
    <n v="130000"/>
    <n v="52000"/>
    <x v="0"/>
    <n v="78000"/>
    <x v="0"/>
    <x v="0"/>
  </r>
  <r>
    <n v="10982"/>
    <s v="Katerina"/>
    <s v="Dörschner"/>
    <n v="38"/>
    <n v="14"/>
    <x v="0"/>
    <x v="3"/>
    <x v="0"/>
    <s v="no"/>
    <n v="20"/>
    <s v="T4"/>
    <n v="115000"/>
    <n v="57500"/>
    <x v="2"/>
    <n v="57500"/>
    <x v="0"/>
    <x v="3"/>
  </r>
  <r>
    <n v="13782"/>
    <s v="Flavio"/>
    <s v="Guerra"/>
    <n v="42"/>
    <n v="18"/>
    <x v="0"/>
    <x v="4"/>
    <x v="3"/>
    <s v="no"/>
    <n v="40"/>
    <s v="T2"/>
    <n v="89889"/>
    <n v="89889"/>
    <x v="2"/>
    <n v="0"/>
    <x v="1"/>
    <x v="2"/>
  </r>
  <r>
    <n v="8681"/>
    <s v="Kelsey"/>
    <s v="Anderson"/>
    <n v="31"/>
    <n v="11"/>
    <x v="0"/>
    <x v="2"/>
    <x v="2"/>
    <s v="no"/>
    <n v="20"/>
    <s v="T1"/>
    <n v="68000"/>
    <n v="34000"/>
    <x v="2"/>
    <n v="34000"/>
    <x v="0"/>
    <x v="0"/>
  </r>
  <r>
    <n v="5522"/>
    <s v="Mitchell"/>
    <s v="David"/>
    <n v="42"/>
    <n v="8"/>
    <x v="1"/>
    <x v="1"/>
    <x v="6"/>
    <s v="yes"/>
    <n v="32"/>
    <s v="T3"/>
    <n v="105840"/>
    <n v="84672"/>
    <x v="0"/>
    <n v="21168"/>
    <x v="0"/>
    <x v="2"/>
  </r>
  <r>
    <n v="5751"/>
    <s v="Phillip"/>
    <s v="Wyatt"/>
    <n v="42"/>
    <n v="21"/>
    <x v="1"/>
    <x v="1"/>
    <x v="1"/>
    <s v="no"/>
    <n v="20"/>
    <s v="T3"/>
    <n v="122000"/>
    <n v="61000"/>
    <x v="1"/>
    <n v="61000"/>
    <x v="0"/>
    <x v="2"/>
  </r>
  <r>
    <n v="22184"/>
    <s v="Johnny"/>
    <s v="Williams"/>
    <n v="64"/>
    <n v="29"/>
    <x v="1"/>
    <x v="4"/>
    <x v="2"/>
    <s v="no"/>
    <n v="40"/>
    <s v="T2"/>
    <n v="92065"/>
    <n v="92065"/>
    <x v="2"/>
    <n v="0"/>
    <x v="1"/>
    <x v="1"/>
  </r>
  <r>
    <n v="868"/>
    <s v="Kristine"/>
    <s v="Perez"/>
    <n v="47"/>
    <n v="15"/>
    <x v="0"/>
    <x v="4"/>
    <x v="1"/>
    <s v="yes"/>
    <n v="32"/>
    <s v="T2"/>
    <n v="85000"/>
    <n v="68000"/>
    <x v="0"/>
    <n v="17000"/>
    <x v="0"/>
    <x v="6"/>
  </r>
  <r>
    <n v="4179"/>
    <s v="Mónica"/>
    <s v="Bernal"/>
    <n v="32"/>
    <n v="4"/>
    <x v="1"/>
    <x v="1"/>
    <x v="3"/>
    <s v="no"/>
    <n v="24"/>
    <s v="T1"/>
    <n v="73440"/>
    <n v="44064"/>
    <x v="2"/>
    <n v="29376"/>
    <x v="0"/>
    <x v="0"/>
  </r>
  <r>
    <n v="14618"/>
    <s v="George"/>
    <s v="Gray"/>
    <n v="65"/>
    <n v="18"/>
    <x v="1"/>
    <x v="0"/>
    <x v="1"/>
    <s v="no"/>
    <n v="40"/>
    <s v="T2"/>
    <n v="107000"/>
    <n v="107000"/>
    <x v="1"/>
    <n v="0"/>
    <x v="1"/>
    <x v="1"/>
  </r>
  <r>
    <n v="1716"/>
    <s v="Cody"/>
    <s v="Shepherd"/>
    <n v="43"/>
    <n v="10"/>
    <x v="1"/>
    <x v="0"/>
    <x v="0"/>
    <s v="no"/>
    <n v="20"/>
    <s v="T2"/>
    <n v="107000"/>
    <n v="53500"/>
    <x v="1"/>
    <n v="53500"/>
    <x v="0"/>
    <x v="2"/>
  </r>
  <r>
    <n v="7857"/>
    <s v="Javier"/>
    <s v="Ríos"/>
    <n v="27"/>
    <n v="6"/>
    <x v="1"/>
    <x v="1"/>
    <x v="2"/>
    <s v="no"/>
    <n v="40"/>
    <s v="T3"/>
    <n v="118039"/>
    <n v="118039"/>
    <x v="1"/>
    <n v="0"/>
    <x v="1"/>
    <x v="4"/>
  </r>
  <r>
    <n v="6450"/>
    <s v="Tyler"/>
    <s v="Townsend"/>
    <n v="46"/>
    <n v="27"/>
    <x v="1"/>
    <x v="0"/>
    <x v="1"/>
    <s v="no"/>
    <n v="40"/>
    <s v="T2"/>
    <n v="93317"/>
    <n v="93317"/>
    <x v="2"/>
    <n v="0"/>
    <x v="1"/>
    <x v="6"/>
  </r>
  <r>
    <n v="17659"/>
    <s v="Robert"/>
    <s v="Rose"/>
    <n v="42"/>
    <n v="13"/>
    <x v="1"/>
    <x v="1"/>
    <x v="4"/>
    <s v="yes"/>
    <n v="24"/>
    <s v="T4"/>
    <n v="124200"/>
    <n v="74520"/>
    <x v="2"/>
    <n v="49680"/>
    <x v="0"/>
    <x v="2"/>
  </r>
  <r>
    <n v="15909"/>
    <s v="Leonardo"/>
    <s v="Pelayo"/>
    <n v="26"/>
    <n v="8"/>
    <x v="0"/>
    <x v="4"/>
    <x v="2"/>
    <s v="no"/>
    <n v="40"/>
    <s v="T2"/>
    <n v="87471"/>
    <n v="87471"/>
    <x v="2"/>
    <n v="0"/>
    <x v="1"/>
    <x v="4"/>
  </r>
  <r>
    <n v="2332"/>
    <s v="Michael"/>
    <s v="Kelly"/>
    <n v="49"/>
    <n v="8"/>
    <x v="1"/>
    <x v="4"/>
    <x v="3"/>
    <s v="yes"/>
    <n v="24"/>
    <s v="T1"/>
    <n v="73440"/>
    <n v="44064"/>
    <x v="0"/>
    <n v="29376"/>
    <x v="0"/>
    <x v="6"/>
  </r>
  <r>
    <n v="18952"/>
    <s v="Richard"/>
    <s v="Frank"/>
    <n v="35"/>
    <n v="13"/>
    <x v="1"/>
    <x v="2"/>
    <x v="3"/>
    <s v="no"/>
    <n v="40"/>
    <s v="T2"/>
    <n v="92944"/>
    <n v="92944"/>
    <x v="2"/>
    <n v="0"/>
    <x v="1"/>
    <x v="0"/>
  </r>
  <r>
    <n v="8852"/>
    <s v="Alan"/>
    <s v="James"/>
    <n v="45"/>
    <n v="21"/>
    <x v="1"/>
    <x v="1"/>
    <x v="1"/>
    <s v="no"/>
    <n v="40"/>
    <s v="T3"/>
    <n v="122000"/>
    <n v="122000"/>
    <x v="1"/>
    <n v="0"/>
    <x v="1"/>
    <x v="2"/>
  </r>
  <r>
    <n v="4663"/>
    <s v="Magdalena"/>
    <s v="Domínguez"/>
    <n v="47"/>
    <n v="2"/>
    <x v="0"/>
    <x v="3"/>
    <x v="3"/>
    <s v="no"/>
    <n v="40"/>
    <s v="T3"/>
    <n v="103082"/>
    <n v="103082"/>
    <x v="1"/>
    <n v="0"/>
    <x v="1"/>
    <x v="6"/>
  </r>
  <r>
    <n v="15644"/>
    <s v="Natalie"/>
    <s v="Moore"/>
    <n v="27"/>
    <n v="3"/>
    <x v="0"/>
    <x v="2"/>
    <x v="3"/>
    <s v="no"/>
    <n v="32"/>
    <s v="T1"/>
    <n v="68000"/>
    <n v="54400"/>
    <x v="0"/>
    <n v="13600"/>
    <x v="0"/>
    <x v="4"/>
  </r>
  <r>
    <n v="5056"/>
    <s v="Joseph"/>
    <s v="Garrett"/>
    <n v="53"/>
    <n v="16"/>
    <x v="1"/>
    <x v="2"/>
    <x v="2"/>
    <s v="no"/>
    <n v="40"/>
    <s v="T3"/>
    <n v="122000"/>
    <n v="122000"/>
    <x v="2"/>
    <n v="0"/>
    <x v="1"/>
    <x v="1"/>
  </r>
  <r>
    <n v="15912"/>
    <s v="Alta  Gracia"/>
    <s v="Carrasco"/>
    <n v="55"/>
    <n v="31"/>
    <x v="0"/>
    <x v="0"/>
    <x v="2"/>
    <s v="no"/>
    <n v="40"/>
    <s v="T2"/>
    <n v="85000"/>
    <n v="85000"/>
    <x v="2"/>
    <n v="0"/>
    <x v="1"/>
    <x v="1"/>
  </r>
  <r>
    <n v="22562"/>
    <s v="Jeffrey"/>
    <s v="Johnston"/>
    <n v="55"/>
    <n v="15"/>
    <x v="1"/>
    <x v="0"/>
    <x v="2"/>
    <s v="no"/>
    <n v="40"/>
    <s v="T2"/>
    <n v="98998"/>
    <n v="98998"/>
    <x v="2"/>
    <n v="0"/>
    <x v="1"/>
    <x v="1"/>
  </r>
  <r>
    <n v="18091"/>
    <s v="Lisa"/>
    <s v="Brown"/>
    <n v="41"/>
    <n v="1"/>
    <x v="0"/>
    <x v="1"/>
    <x v="4"/>
    <s v="no"/>
    <n v="16"/>
    <s v="T4"/>
    <n v="115000"/>
    <n v="46000"/>
    <x v="0"/>
    <n v="69000"/>
    <x v="0"/>
    <x v="2"/>
  </r>
  <r>
    <n v="19001"/>
    <s v="Clinton"/>
    <s v="Rogers"/>
    <n v="27"/>
    <n v="7"/>
    <x v="1"/>
    <x v="0"/>
    <x v="2"/>
    <s v="no"/>
    <n v="40"/>
    <s v="T3"/>
    <n v="122000"/>
    <n v="122000"/>
    <x v="1"/>
    <n v="0"/>
    <x v="1"/>
    <x v="4"/>
  </r>
  <r>
    <n v="20198"/>
    <s v="Rebecca"/>
    <s v="Mitchell"/>
    <n v="31"/>
    <n v="5"/>
    <x v="0"/>
    <x v="2"/>
    <x v="3"/>
    <s v="no"/>
    <n v="32"/>
    <s v="T4"/>
    <n v="115000"/>
    <n v="92000"/>
    <x v="1"/>
    <n v="23000"/>
    <x v="0"/>
    <x v="0"/>
  </r>
  <r>
    <n v="11084"/>
    <s v="Jessica"/>
    <s v="Hill"/>
    <n v="41"/>
    <n v="8"/>
    <x v="0"/>
    <x v="0"/>
    <x v="4"/>
    <s v="no"/>
    <n v="40"/>
    <s v="T4"/>
    <n v="117443"/>
    <n v="117443"/>
    <x v="0"/>
    <n v="0"/>
    <x v="1"/>
    <x v="2"/>
  </r>
  <r>
    <n v="15189"/>
    <s v="Daniel"/>
    <s v="Lyons"/>
    <n v="39"/>
    <n v="18"/>
    <x v="1"/>
    <x v="1"/>
    <x v="1"/>
    <s v="no"/>
    <n v="40"/>
    <s v="T3"/>
    <n v="118472"/>
    <n v="118472"/>
    <x v="1"/>
    <n v="0"/>
    <x v="1"/>
    <x v="3"/>
  </r>
  <r>
    <n v="20762"/>
    <s v="Ryan"/>
    <s v="Lester"/>
    <n v="30"/>
    <n v="4"/>
    <x v="1"/>
    <x v="1"/>
    <x v="2"/>
    <s v="no"/>
    <n v="40"/>
    <s v="T2"/>
    <n v="96506"/>
    <n v="96506"/>
    <x v="2"/>
    <n v="0"/>
    <x v="1"/>
    <x v="4"/>
  </r>
  <r>
    <n v="17227"/>
    <s v="Judith"/>
    <s v="Baker"/>
    <n v="58"/>
    <n v="26"/>
    <x v="0"/>
    <x v="0"/>
    <x v="1"/>
    <s v="yes"/>
    <n v="40"/>
    <s v="T4"/>
    <n v="115000"/>
    <n v="115000"/>
    <x v="2"/>
    <n v="0"/>
    <x v="1"/>
    <x v="1"/>
  </r>
  <r>
    <n v="7574"/>
    <s v="Gregory"/>
    <s v="Lynch"/>
    <n v="21"/>
    <n v="1"/>
    <x v="1"/>
    <x v="0"/>
    <x v="0"/>
    <s v="no"/>
    <n v="20"/>
    <s v="T4"/>
    <n v="138000"/>
    <n v="69000"/>
    <x v="1"/>
    <n v="69000"/>
    <x v="0"/>
    <x v="5"/>
  </r>
  <r>
    <n v="14670"/>
    <s v="Charles"/>
    <s v="Molina"/>
    <n v="26"/>
    <n v="0"/>
    <x v="1"/>
    <x v="1"/>
    <x v="3"/>
    <s v="no"/>
    <n v="40"/>
    <s v="T4"/>
    <n v="127495"/>
    <n v="127495"/>
    <x v="2"/>
    <n v="0"/>
    <x v="1"/>
    <x v="4"/>
  </r>
  <r>
    <n v="18639"/>
    <s v="Nathan"/>
    <s v="Miller"/>
    <n v="55"/>
    <n v="17"/>
    <x v="1"/>
    <x v="0"/>
    <x v="1"/>
    <s v="no"/>
    <n v="40"/>
    <s v="T5"/>
    <n v="146775"/>
    <n v="146775"/>
    <x v="2"/>
    <n v="0"/>
    <x v="1"/>
    <x v="1"/>
  </r>
  <r>
    <n v="15298"/>
    <s v="Christopher"/>
    <s v="Smith"/>
    <n v="40"/>
    <n v="20"/>
    <x v="1"/>
    <x v="4"/>
    <x v="5"/>
    <s v="yes"/>
    <n v="32"/>
    <s v="T4"/>
    <n v="124200"/>
    <n v="99360"/>
    <x v="2"/>
    <n v="24840"/>
    <x v="0"/>
    <x v="3"/>
  </r>
  <r>
    <n v="5902"/>
    <s v="Jason"/>
    <s v="Martinez"/>
    <n v="19"/>
    <n v="0"/>
    <x v="1"/>
    <x v="1"/>
    <x v="3"/>
    <s v="no"/>
    <n v="40"/>
    <s v="T3"/>
    <n v="106607"/>
    <n v="106607"/>
    <x v="2"/>
    <n v="0"/>
    <x v="1"/>
    <x v="7"/>
  </r>
  <r>
    <n v="16241"/>
    <s v="Camilo"/>
    <s v="Zavala"/>
    <n v="64"/>
    <n v="9"/>
    <x v="1"/>
    <x v="1"/>
    <x v="3"/>
    <s v="yes"/>
    <n v="40"/>
    <s v="T1"/>
    <n v="87000"/>
    <n v="87000"/>
    <x v="1"/>
    <n v="0"/>
    <x v="1"/>
    <x v="1"/>
  </r>
  <r>
    <n v="15434"/>
    <s v="Jennifer"/>
    <s v="Carlson"/>
    <n v="27"/>
    <n v="6"/>
    <x v="0"/>
    <x v="2"/>
    <x v="1"/>
    <s v="no"/>
    <n v="24"/>
    <s v="T3"/>
    <n v="98000"/>
    <n v="58800"/>
    <x v="2"/>
    <n v="39200"/>
    <x v="0"/>
    <x v="4"/>
  </r>
  <r>
    <n v="9180"/>
    <s v="Mark"/>
    <s v="Salazar"/>
    <n v="47"/>
    <n v="12"/>
    <x v="1"/>
    <x v="0"/>
    <x v="3"/>
    <s v="no"/>
    <n v="40"/>
    <s v="T2"/>
    <n v="107000"/>
    <n v="107000"/>
    <x v="0"/>
    <n v="0"/>
    <x v="1"/>
    <x v="6"/>
  </r>
  <r>
    <n v="8788"/>
    <s v="Warren"/>
    <s v="Russell"/>
    <n v="51"/>
    <n v="22"/>
    <x v="1"/>
    <x v="4"/>
    <x v="2"/>
    <s v="no"/>
    <n v="40"/>
    <s v="T2"/>
    <n v="100263"/>
    <n v="100263"/>
    <x v="1"/>
    <n v="0"/>
    <x v="1"/>
    <x v="1"/>
  </r>
  <r>
    <n v="21581"/>
    <s v="Phillip"/>
    <s v="Bass"/>
    <n v="51"/>
    <n v="33"/>
    <x v="1"/>
    <x v="3"/>
    <x v="3"/>
    <s v="no"/>
    <n v="40"/>
    <s v="T2"/>
    <n v="107000"/>
    <n v="107000"/>
    <x v="2"/>
    <n v="0"/>
    <x v="1"/>
    <x v="1"/>
  </r>
  <r>
    <n v="9773"/>
    <s v="Garrett"/>
    <s v="Clarke"/>
    <n v="28"/>
    <n v="9"/>
    <x v="1"/>
    <x v="2"/>
    <x v="3"/>
    <s v="no"/>
    <n v="40"/>
    <s v="T3"/>
    <n v="121808"/>
    <n v="121808"/>
    <x v="2"/>
    <n v="0"/>
    <x v="1"/>
    <x v="4"/>
  </r>
  <r>
    <n v="17768"/>
    <s v="Brandy"/>
    <s v="Moreno"/>
    <n v="40"/>
    <n v="10"/>
    <x v="0"/>
    <x v="2"/>
    <x v="3"/>
    <s v="no"/>
    <n v="40"/>
    <s v="T3"/>
    <n v="107946"/>
    <n v="107946"/>
    <x v="2"/>
    <n v="0"/>
    <x v="1"/>
    <x v="3"/>
  </r>
  <r>
    <n v="16566"/>
    <s v="Tonya"/>
    <s v="Warner"/>
    <n v="61"/>
    <n v="16"/>
    <x v="0"/>
    <x v="0"/>
    <x v="5"/>
    <s v="yes"/>
    <n v="24"/>
    <s v="T4"/>
    <n v="115000"/>
    <n v="69000"/>
    <x v="2"/>
    <n v="46000"/>
    <x v="0"/>
    <x v="1"/>
  </r>
  <r>
    <n v="21224"/>
    <s v="Edward"/>
    <s v="Dunn"/>
    <n v="38"/>
    <n v="3"/>
    <x v="1"/>
    <x v="2"/>
    <x v="1"/>
    <s v="no"/>
    <n v="40"/>
    <s v="T3"/>
    <n v="122000"/>
    <n v="122000"/>
    <x v="1"/>
    <n v="0"/>
    <x v="1"/>
    <x v="3"/>
  </r>
  <r>
    <n v="8526"/>
    <s v="Joaquín"/>
    <s v="Olivas"/>
    <n v="50"/>
    <n v="27"/>
    <x v="0"/>
    <x v="3"/>
    <x v="2"/>
    <s v="no"/>
    <n v="40"/>
    <s v="T2"/>
    <n v="85000"/>
    <n v="85000"/>
    <x v="1"/>
    <n v="0"/>
    <x v="1"/>
    <x v="1"/>
  </r>
  <r>
    <n v="9685"/>
    <s v="Joseph"/>
    <s v="Elliott"/>
    <n v="47"/>
    <n v="7"/>
    <x v="1"/>
    <x v="3"/>
    <x v="2"/>
    <s v="no"/>
    <n v="40"/>
    <s v="T3"/>
    <n v="122000"/>
    <n v="122000"/>
    <x v="1"/>
    <n v="0"/>
    <x v="1"/>
    <x v="6"/>
  </r>
  <r>
    <n v="15100"/>
    <s v="Ann"/>
    <s v="Thompson"/>
    <n v="28"/>
    <n v="1"/>
    <x v="0"/>
    <x v="0"/>
    <x v="1"/>
    <s v="no"/>
    <n v="40"/>
    <s v="T2"/>
    <n v="89686"/>
    <n v="89686"/>
    <x v="2"/>
    <n v="0"/>
    <x v="1"/>
    <x v="4"/>
  </r>
  <r>
    <n v="3225"/>
    <s v="Cheryl"/>
    <s v="Sawyer"/>
    <n v="50"/>
    <n v="21"/>
    <x v="0"/>
    <x v="0"/>
    <x v="2"/>
    <s v="no"/>
    <n v="40"/>
    <s v="T2"/>
    <n v="91170"/>
    <n v="91170"/>
    <x v="2"/>
    <n v="0"/>
    <x v="1"/>
    <x v="1"/>
  </r>
  <r>
    <n v="10049"/>
    <s v="Kelly"/>
    <s v="Evans"/>
    <n v="47"/>
    <n v="25"/>
    <x v="0"/>
    <x v="3"/>
    <x v="4"/>
    <s v="yes"/>
    <n v="32"/>
    <s v="T3"/>
    <n v="98000"/>
    <n v="98000"/>
    <x v="0"/>
    <n v="0"/>
    <x v="1"/>
    <x v="6"/>
  </r>
  <r>
    <n v="6247"/>
    <s v="Wilfrido"/>
    <s v="Páez"/>
    <n v="59"/>
    <n v="5"/>
    <x v="1"/>
    <x v="0"/>
    <x v="1"/>
    <s v="no"/>
    <n v="20"/>
    <s v="T5"/>
    <n v="142279"/>
    <n v="71139.5"/>
    <x v="2"/>
    <n v="71139.5"/>
    <x v="0"/>
    <x v="1"/>
  </r>
  <r>
    <n v="8370"/>
    <s v="Hannah"/>
    <s v="Murphy"/>
    <n v="36"/>
    <n v="8"/>
    <x v="0"/>
    <x v="1"/>
    <x v="4"/>
    <s v="no"/>
    <n v="16"/>
    <s v="T4"/>
    <n v="115000"/>
    <n v="46000"/>
    <x v="0"/>
    <n v="69000"/>
    <x v="0"/>
    <x v="3"/>
  </r>
  <r>
    <n v="9590"/>
    <s v="Kristin"/>
    <s v="Nolan"/>
    <n v="32"/>
    <n v="13"/>
    <x v="0"/>
    <x v="3"/>
    <x v="3"/>
    <s v="no"/>
    <n v="40"/>
    <s v="T2"/>
    <n v="85000"/>
    <n v="85000"/>
    <x v="2"/>
    <n v="0"/>
    <x v="1"/>
    <x v="0"/>
  </r>
  <r>
    <n v="11692"/>
    <s v="Derrick"/>
    <s v="Torres"/>
    <n v="39"/>
    <n v="14"/>
    <x v="1"/>
    <x v="4"/>
    <x v="3"/>
    <s v="no"/>
    <n v="16"/>
    <s v="T1"/>
    <n v="73440"/>
    <n v="29376"/>
    <x v="0"/>
    <n v="44064"/>
    <x v="0"/>
    <x v="3"/>
  </r>
  <r>
    <n v="11163"/>
    <s v="Vanesa"/>
    <s v="Saldaña"/>
    <n v="44"/>
    <n v="11"/>
    <x v="1"/>
    <x v="3"/>
    <x v="2"/>
    <s v="no"/>
    <n v="8"/>
    <s v="T1"/>
    <n v="77197"/>
    <n v="15439.4"/>
    <x v="0"/>
    <n v="61757.599999999999"/>
    <x v="0"/>
    <x v="2"/>
  </r>
  <r>
    <n v="18386"/>
    <s v="Danielle"/>
    <s v="Smith"/>
    <n v="57"/>
    <n v="16"/>
    <x v="0"/>
    <x v="3"/>
    <x v="5"/>
    <s v="yes"/>
    <n v="8"/>
    <s v="T5"/>
    <n v="130000"/>
    <n v="26000"/>
    <x v="0"/>
    <n v="104000"/>
    <x v="0"/>
    <x v="1"/>
  </r>
  <r>
    <n v="10644"/>
    <s v="Yolanda"/>
    <s v="Gibson"/>
    <n v="29"/>
    <n v="1"/>
    <x v="0"/>
    <x v="2"/>
    <x v="0"/>
    <s v="no"/>
    <n v="20"/>
    <s v="T2"/>
    <n v="85116"/>
    <n v="42558"/>
    <x v="2"/>
    <n v="42558"/>
    <x v="0"/>
    <x v="4"/>
  </r>
  <r>
    <n v="3327"/>
    <s v="Andrew"/>
    <s v="James"/>
    <n v="53"/>
    <n v="28"/>
    <x v="1"/>
    <x v="0"/>
    <x v="0"/>
    <s v="no"/>
    <n v="40"/>
    <s v="T4"/>
    <n v="138000"/>
    <n v="138000"/>
    <x v="2"/>
    <n v="0"/>
    <x v="1"/>
    <x v="1"/>
  </r>
  <r>
    <n v="5221"/>
    <s v="Brittany"/>
    <s v="Morales"/>
    <n v="36"/>
    <n v="14"/>
    <x v="0"/>
    <x v="0"/>
    <x v="0"/>
    <s v="no"/>
    <n v="40"/>
    <s v="T3"/>
    <n v="112039"/>
    <n v="112039"/>
    <x v="2"/>
    <n v="0"/>
    <x v="1"/>
    <x v="3"/>
  </r>
  <r>
    <n v="5629"/>
    <s v="Crystal"/>
    <s v="Holder"/>
    <n v="37"/>
    <n v="2"/>
    <x v="0"/>
    <x v="3"/>
    <x v="3"/>
    <s v="no"/>
    <n v="40"/>
    <s v="T2"/>
    <n v="90338"/>
    <n v="90338"/>
    <x v="2"/>
    <n v="0"/>
    <x v="1"/>
    <x v="3"/>
  </r>
  <r>
    <n v="8264"/>
    <s v="Ronald"/>
    <s v="Leon"/>
    <n v="21"/>
    <n v="3"/>
    <x v="1"/>
    <x v="1"/>
    <x v="2"/>
    <s v="no"/>
    <n v="40"/>
    <s v="T2"/>
    <n v="107000"/>
    <n v="107000"/>
    <x v="1"/>
    <n v="0"/>
    <x v="1"/>
    <x v="5"/>
  </r>
  <r>
    <n v="13238"/>
    <s v="Kyle"/>
    <s v="Eaton"/>
    <n v="52"/>
    <n v="9"/>
    <x v="1"/>
    <x v="2"/>
    <x v="3"/>
    <s v="no"/>
    <n v="40"/>
    <s v="T2"/>
    <n v="94749"/>
    <n v="94749"/>
    <x v="2"/>
    <n v="0"/>
    <x v="1"/>
    <x v="1"/>
  </r>
  <r>
    <n v="5694"/>
    <s v="Benjamin"/>
    <s v="Lee"/>
    <n v="30"/>
    <n v="5"/>
    <x v="1"/>
    <x v="1"/>
    <x v="2"/>
    <s v="no"/>
    <n v="40"/>
    <s v="T3"/>
    <n v="109621"/>
    <n v="109621"/>
    <x v="1"/>
    <n v="0"/>
    <x v="1"/>
    <x v="4"/>
  </r>
  <r>
    <n v="7697"/>
    <s v="Keith"/>
    <s v="Curtis"/>
    <n v="49"/>
    <n v="15"/>
    <x v="1"/>
    <x v="2"/>
    <x v="3"/>
    <s v="yes"/>
    <n v="32"/>
    <s v="T1"/>
    <n v="73440"/>
    <n v="58752"/>
    <x v="0"/>
    <n v="14688"/>
    <x v="0"/>
    <x v="6"/>
  </r>
  <r>
    <n v="2791"/>
    <s v="Caridad"/>
    <s v="Cedillo"/>
    <n v="37"/>
    <n v="2"/>
    <x v="0"/>
    <x v="4"/>
    <x v="1"/>
    <s v="no"/>
    <n v="24"/>
    <s v="T4"/>
    <n v="115000"/>
    <n v="69000"/>
    <x v="2"/>
    <n v="46000"/>
    <x v="0"/>
    <x v="3"/>
  </r>
  <r>
    <n v="14281"/>
    <s v="Erika"/>
    <s v="Mcdaniel"/>
    <n v="62"/>
    <n v="31"/>
    <x v="0"/>
    <x v="3"/>
    <x v="1"/>
    <s v="no"/>
    <n v="40"/>
    <s v="T3"/>
    <n v="98000"/>
    <n v="98000"/>
    <x v="2"/>
    <n v="0"/>
    <x v="1"/>
    <x v="1"/>
  </r>
  <r>
    <n v="14043"/>
    <s v="Kelsey"/>
    <s v="Thompson"/>
    <n v="25"/>
    <n v="7"/>
    <x v="0"/>
    <x v="0"/>
    <x v="1"/>
    <s v="no"/>
    <n v="40"/>
    <s v="T2"/>
    <n v="85000"/>
    <n v="85000"/>
    <x v="0"/>
    <n v="0"/>
    <x v="1"/>
    <x v="4"/>
  </r>
  <r>
    <n v="11529"/>
    <s v="Damon"/>
    <s v="Hayes"/>
    <n v="55"/>
    <n v="14"/>
    <x v="1"/>
    <x v="4"/>
    <x v="2"/>
    <s v="no"/>
    <n v="24"/>
    <s v="T1"/>
    <n v="81939"/>
    <n v="49163.4"/>
    <x v="1"/>
    <n v="32775.599999999999"/>
    <x v="0"/>
    <x v="1"/>
  </r>
  <r>
    <n v="18467"/>
    <s v="Nicole"/>
    <s v="Santos"/>
    <n v="41"/>
    <n v="22"/>
    <x v="0"/>
    <x v="4"/>
    <x v="3"/>
    <s v="no"/>
    <n v="40"/>
    <s v="T3"/>
    <n v="98000"/>
    <n v="98000"/>
    <x v="2"/>
    <n v="0"/>
    <x v="1"/>
    <x v="2"/>
  </r>
  <r>
    <n v="15954"/>
    <s v="Eva"/>
    <s v="Bernal"/>
    <n v="58"/>
    <n v="39"/>
    <x v="0"/>
    <x v="4"/>
    <x v="3"/>
    <s v="no"/>
    <n v="40"/>
    <s v="T2"/>
    <n v="85000"/>
    <n v="85000"/>
    <x v="2"/>
    <n v="0"/>
    <x v="1"/>
    <x v="1"/>
  </r>
  <r>
    <n v="14311"/>
    <s v="Steven"/>
    <s v="Sanchez"/>
    <n v="47"/>
    <n v="20"/>
    <x v="1"/>
    <x v="1"/>
    <x v="2"/>
    <s v="no"/>
    <n v="40"/>
    <s v="T2"/>
    <n v="107000"/>
    <n v="107000"/>
    <x v="1"/>
    <n v="0"/>
    <x v="1"/>
    <x v="6"/>
  </r>
  <r>
    <n v="2344"/>
    <s v="Maria"/>
    <s v="Holloway"/>
    <n v="60"/>
    <n v="13"/>
    <x v="0"/>
    <x v="2"/>
    <x v="1"/>
    <s v="no"/>
    <n v="20"/>
    <s v="T4"/>
    <n v="119751"/>
    <n v="59875.5"/>
    <x v="1"/>
    <n v="59875.5"/>
    <x v="0"/>
    <x v="1"/>
  </r>
  <r>
    <n v="2727"/>
    <s v="Jared"/>
    <s v="Meyer"/>
    <n v="38"/>
    <n v="6"/>
    <x v="1"/>
    <x v="3"/>
    <x v="1"/>
    <s v="no"/>
    <n v="40"/>
    <s v="T3"/>
    <n v="122000"/>
    <n v="122000"/>
    <x v="1"/>
    <n v="0"/>
    <x v="1"/>
    <x v="3"/>
  </r>
  <r>
    <n v="7464"/>
    <s v="Jordan"/>
    <s v="Kelly"/>
    <n v="37"/>
    <n v="12"/>
    <x v="1"/>
    <x v="1"/>
    <x v="2"/>
    <s v="no"/>
    <n v="40"/>
    <s v="T2"/>
    <n v="104423"/>
    <n v="104423"/>
    <x v="1"/>
    <n v="0"/>
    <x v="1"/>
    <x v="3"/>
  </r>
  <r>
    <n v="14454"/>
    <s v="Dennis"/>
    <s v="Bass"/>
    <n v="50"/>
    <n v="15"/>
    <x v="1"/>
    <x v="2"/>
    <x v="1"/>
    <s v="no"/>
    <n v="16"/>
    <s v="T2"/>
    <n v="91800"/>
    <n v="36720"/>
    <x v="0"/>
    <n v="55080"/>
    <x v="0"/>
    <x v="1"/>
  </r>
  <r>
    <n v="13449"/>
    <s v="Oswaldo"/>
    <s v="Apodaca"/>
    <n v="33"/>
    <n v="8"/>
    <x v="1"/>
    <x v="4"/>
    <x v="1"/>
    <s v="no"/>
    <n v="20"/>
    <s v="T4"/>
    <n v="124200"/>
    <n v="62100"/>
    <x v="2"/>
    <n v="62100"/>
    <x v="0"/>
    <x v="0"/>
  </r>
  <r>
    <n v="19826"/>
    <s v="Luis Manuel"/>
    <s v="Sevilla"/>
    <n v="58"/>
    <n v="27"/>
    <x v="1"/>
    <x v="4"/>
    <x v="2"/>
    <s v="yes"/>
    <n v="24"/>
    <s v="T1"/>
    <n v="76113"/>
    <n v="45667.8"/>
    <x v="2"/>
    <n v="30445.199999999997"/>
    <x v="0"/>
    <x v="1"/>
  </r>
  <r>
    <n v="1327"/>
    <s v="Cynthia"/>
    <s v="Rubio"/>
    <n v="42"/>
    <n v="15"/>
    <x v="0"/>
    <x v="3"/>
    <x v="3"/>
    <s v="no"/>
    <n v="40"/>
    <s v="T2"/>
    <n v="92409"/>
    <n v="92409"/>
    <x v="2"/>
    <n v="0"/>
    <x v="1"/>
    <x v="2"/>
  </r>
  <r>
    <n v="19551"/>
    <s v="Robert"/>
    <s v="Doyle"/>
    <n v="41"/>
    <n v="3"/>
    <x v="1"/>
    <x v="4"/>
    <x v="3"/>
    <s v="no"/>
    <n v="40"/>
    <s v="T3"/>
    <n v="111832"/>
    <n v="111832"/>
    <x v="2"/>
    <n v="0"/>
    <x v="1"/>
    <x v="2"/>
  </r>
  <r>
    <n v="13151"/>
    <s v="Fidel"/>
    <s v="Terán"/>
    <n v="64"/>
    <n v="32"/>
    <x v="1"/>
    <x v="2"/>
    <x v="3"/>
    <s v="no"/>
    <n v="20"/>
    <s v="T1"/>
    <n v="73440"/>
    <n v="36720"/>
    <x v="0"/>
    <n v="36720"/>
    <x v="0"/>
    <x v="1"/>
  </r>
  <r>
    <n v="1994"/>
    <s v="Jennifer"/>
    <s v="Moore"/>
    <n v="20"/>
    <n v="2"/>
    <x v="0"/>
    <x v="0"/>
    <x v="1"/>
    <s v="no"/>
    <n v="20"/>
    <s v="T3"/>
    <n v="108538"/>
    <n v="54269"/>
    <x v="2"/>
    <n v="54269"/>
    <x v="0"/>
    <x v="5"/>
  </r>
  <r>
    <n v="19550"/>
    <s v="Jeffrey"/>
    <s v="Thompson"/>
    <n v="36"/>
    <n v="9"/>
    <x v="1"/>
    <x v="1"/>
    <x v="0"/>
    <s v="no"/>
    <n v="20"/>
    <s v="T3"/>
    <n v="110458"/>
    <n v="55229"/>
    <x v="1"/>
    <n v="55229"/>
    <x v="0"/>
    <x v="3"/>
  </r>
  <r>
    <n v="16316"/>
    <s v="Robert"/>
    <s v="Campos"/>
    <n v="44"/>
    <n v="11"/>
    <x v="1"/>
    <x v="2"/>
    <x v="2"/>
    <s v="no"/>
    <n v="40"/>
    <s v="T3"/>
    <n v="122000"/>
    <n v="122000"/>
    <x v="1"/>
    <n v="0"/>
    <x v="1"/>
    <x v="2"/>
  </r>
  <r>
    <n v="880"/>
    <s v="William"/>
    <s v="Crosby"/>
    <n v="46"/>
    <n v="12"/>
    <x v="1"/>
    <x v="4"/>
    <x v="1"/>
    <s v="no"/>
    <n v="32"/>
    <s v="T4"/>
    <n v="124200"/>
    <n v="99360"/>
    <x v="0"/>
    <n v="24840"/>
    <x v="0"/>
    <x v="6"/>
  </r>
  <r>
    <n v="12213"/>
    <s v="Jonathan"/>
    <s v="Moreno"/>
    <n v="22"/>
    <n v="1"/>
    <x v="1"/>
    <x v="1"/>
    <x v="1"/>
    <s v="no"/>
    <n v="16"/>
    <s v="T5"/>
    <n v="141809"/>
    <n v="56723.6"/>
    <x v="0"/>
    <n v="85085.4"/>
    <x v="0"/>
    <x v="5"/>
  </r>
  <r>
    <n v="18330"/>
    <s v="Annette"/>
    <s v="Nicholson"/>
    <n v="40"/>
    <n v="3"/>
    <x v="0"/>
    <x v="0"/>
    <x v="0"/>
    <s v="no"/>
    <n v="20"/>
    <s v="T4"/>
    <n v="124027"/>
    <n v="62013.5"/>
    <x v="1"/>
    <n v="62013.5"/>
    <x v="0"/>
    <x v="3"/>
  </r>
  <r>
    <n v="10471"/>
    <s v="Stephanie"/>
    <s v="Alvarez"/>
    <n v="55"/>
    <n v="13"/>
    <x v="0"/>
    <x v="0"/>
    <x v="3"/>
    <s v="no"/>
    <n v="40"/>
    <s v="T2"/>
    <n v="87571"/>
    <n v="87571"/>
    <x v="2"/>
    <n v="0"/>
    <x v="1"/>
    <x v="1"/>
  </r>
  <r>
    <n v="13466"/>
    <s v="Cathy"/>
    <s v="Garcia"/>
    <n v="45"/>
    <n v="6"/>
    <x v="0"/>
    <x v="4"/>
    <x v="1"/>
    <s v="no"/>
    <n v="20"/>
    <s v="T4"/>
    <n v="115000"/>
    <n v="57500"/>
    <x v="0"/>
    <n v="57500"/>
    <x v="0"/>
    <x v="2"/>
  </r>
  <r>
    <n v="14417"/>
    <s v="Anthony"/>
    <s v="Henderson"/>
    <n v="33"/>
    <n v="7"/>
    <x v="1"/>
    <x v="4"/>
    <x v="3"/>
    <s v="no"/>
    <n v="20"/>
    <s v="T2"/>
    <n v="91800"/>
    <n v="45900"/>
    <x v="0"/>
    <n v="45900"/>
    <x v="0"/>
    <x v="0"/>
  </r>
  <r>
    <n v="18323"/>
    <s v="Victor"/>
    <s v="Lawson"/>
    <n v="40"/>
    <n v="2"/>
    <x v="1"/>
    <x v="1"/>
    <x v="1"/>
    <s v="no"/>
    <n v="40"/>
    <s v="T3"/>
    <n v="110550"/>
    <n v="110550"/>
    <x v="1"/>
    <n v="0"/>
    <x v="1"/>
    <x v="3"/>
  </r>
  <r>
    <n v="18582"/>
    <s v="Mary"/>
    <s v="Acosta"/>
    <n v="47"/>
    <n v="17"/>
    <x v="0"/>
    <x v="3"/>
    <x v="0"/>
    <s v="yes"/>
    <n v="20"/>
    <s v="T3"/>
    <n v="98000"/>
    <n v="49000"/>
    <x v="0"/>
    <n v="49000"/>
    <x v="0"/>
    <x v="6"/>
  </r>
  <r>
    <n v="20454"/>
    <s v="Paul"/>
    <s v="Mills"/>
    <n v="26"/>
    <n v="4"/>
    <x v="1"/>
    <x v="0"/>
    <x v="2"/>
    <s v="no"/>
    <n v="40"/>
    <s v="T1"/>
    <n v="87000"/>
    <n v="87000"/>
    <x v="2"/>
    <n v="0"/>
    <x v="1"/>
    <x v="4"/>
  </r>
  <r>
    <n v="7913"/>
    <s v="John"/>
    <s v="Smith"/>
    <n v="29"/>
    <n v="2"/>
    <x v="1"/>
    <x v="2"/>
    <x v="2"/>
    <s v="no"/>
    <n v="20"/>
    <s v="T3"/>
    <n v="105840"/>
    <n v="52920"/>
    <x v="2"/>
    <n v="52920"/>
    <x v="0"/>
    <x v="4"/>
  </r>
  <r>
    <n v="16685"/>
    <s v="Anabel"/>
    <s v="López"/>
    <n v="42"/>
    <n v="14"/>
    <x v="1"/>
    <x v="2"/>
    <x v="1"/>
    <s v="no"/>
    <n v="40"/>
    <s v="T3"/>
    <n v="119940"/>
    <n v="119940"/>
    <x v="2"/>
    <n v="0"/>
    <x v="1"/>
    <x v="2"/>
  </r>
  <r>
    <n v="7877"/>
    <s v="Stephanie"/>
    <s v="Russell"/>
    <n v="31"/>
    <n v="10"/>
    <x v="0"/>
    <x v="0"/>
    <x v="4"/>
    <s v="no"/>
    <n v="40"/>
    <s v="T3"/>
    <n v="98000"/>
    <n v="98000"/>
    <x v="0"/>
    <n v="0"/>
    <x v="1"/>
    <x v="0"/>
  </r>
  <r>
    <n v="9630"/>
    <s v="Bailey"/>
    <s v="Molina"/>
    <n v="30"/>
    <n v="2"/>
    <x v="0"/>
    <x v="4"/>
    <x v="0"/>
    <s v="no"/>
    <n v="24"/>
    <s v="T3"/>
    <n v="98000"/>
    <n v="58800"/>
    <x v="0"/>
    <n v="39200"/>
    <x v="0"/>
    <x v="4"/>
  </r>
  <r>
    <n v="14968"/>
    <s v="Estela"/>
    <s v="Castro"/>
    <n v="46"/>
    <n v="18"/>
    <x v="0"/>
    <x v="3"/>
    <x v="3"/>
    <s v="no"/>
    <n v="16"/>
    <s v="T3"/>
    <n v="98000"/>
    <n v="39200"/>
    <x v="0"/>
    <n v="58800"/>
    <x v="0"/>
    <x v="6"/>
  </r>
  <r>
    <n v="1638"/>
    <s v="Monica"/>
    <s v="Johnson"/>
    <n v="57"/>
    <n v="29"/>
    <x v="0"/>
    <x v="0"/>
    <x v="1"/>
    <s v="no"/>
    <n v="40"/>
    <s v="T5"/>
    <n v="130000"/>
    <n v="130000"/>
    <x v="0"/>
    <n v="0"/>
    <x v="1"/>
    <x v="1"/>
  </r>
  <r>
    <n v="13429"/>
    <s v="Joshua"/>
    <s v="Miller"/>
    <n v="49"/>
    <n v="21"/>
    <x v="1"/>
    <x v="3"/>
    <x v="1"/>
    <s v="no"/>
    <n v="40"/>
    <s v="T2"/>
    <n v="92574"/>
    <n v="92574"/>
    <x v="2"/>
    <n v="0"/>
    <x v="1"/>
    <x v="6"/>
  </r>
  <r>
    <n v="11701"/>
    <s v="Brian"/>
    <s v="Patel"/>
    <n v="24"/>
    <n v="6"/>
    <x v="1"/>
    <x v="2"/>
    <x v="3"/>
    <s v="no"/>
    <n v="32"/>
    <s v="T3"/>
    <n v="105840"/>
    <n v="84672"/>
    <x v="0"/>
    <n v="21168"/>
    <x v="0"/>
    <x v="5"/>
  </r>
  <r>
    <n v="22604"/>
    <s v="Nicolas"/>
    <s v="Bender"/>
    <n v="48"/>
    <n v="14"/>
    <x v="1"/>
    <x v="1"/>
    <x v="6"/>
    <s v="yes"/>
    <n v="20"/>
    <s v="T2"/>
    <n v="91800"/>
    <n v="45900"/>
    <x v="0"/>
    <n v="45900"/>
    <x v="0"/>
    <x v="6"/>
  </r>
  <r>
    <n v="13935"/>
    <s v="Emilio"/>
    <s v="Rivero"/>
    <n v="46"/>
    <n v="16"/>
    <x v="1"/>
    <x v="1"/>
    <x v="2"/>
    <s v="no"/>
    <n v="40"/>
    <s v="T2"/>
    <n v="107000"/>
    <n v="107000"/>
    <x v="2"/>
    <n v="0"/>
    <x v="1"/>
    <x v="6"/>
  </r>
  <r>
    <n v="6095"/>
    <s v="Elizabeth"/>
    <s v="Martinez"/>
    <n v="37"/>
    <n v="6"/>
    <x v="0"/>
    <x v="3"/>
    <x v="3"/>
    <s v="no"/>
    <n v="40"/>
    <s v="T2"/>
    <n v="94079"/>
    <n v="94079"/>
    <x v="1"/>
    <n v="0"/>
    <x v="1"/>
    <x v="3"/>
  </r>
  <r>
    <n v="16002"/>
    <s v="Christopher"/>
    <s v="Henderson"/>
    <n v="46"/>
    <n v="2"/>
    <x v="1"/>
    <x v="4"/>
    <x v="0"/>
    <s v="yes"/>
    <n v="16"/>
    <s v="T4"/>
    <n v="126404"/>
    <n v="50561.599999999999"/>
    <x v="2"/>
    <n v="75842.399999999994"/>
    <x v="0"/>
    <x v="6"/>
  </r>
  <r>
    <n v="4869"/>
    <s v="Darlene"/>
    <s v="Gomez"/>
    <n v="57"/>
    <n v="29"/>
    <x v="0"/>
    <x v="0"/>
    <x v="1"/>
    <s v="yes"/>
    <n v="20"/>
    <s v="T2"/>
    <n v="91934"/>
    <n v="45967"/>
    <x v="0"/>
    <n v="45967"/>
    <x v="0"/>
    <x v="1"/>
  </r>
  <r>
    <n v="21077"/>
    <s v="Cheryl"/>
    <s v="Turner"/>
    <n v="31"/>
    <n v="8"/>
    <x v="0"/>
    <x v="4"/>
    <x v="3"/>
    <s v="no"/>
    <n v="24"/>
    <s v="T1"/>
    <n v="68000"/>
    <n v="40800"/>
    <x v="0"/>
    <n v="27200"/>
    <x v="0"/>
    <x v="0"/>
  </r>
  <r>
    <n v="1570"/>
    <s v="Ofelia"/>
    <s v="Escalante"/>
    <n v="25"/>
    <n v="1"/>
    <x v="1"/>
    <x v="2"/>
    <x v="3"/>
    <s v="no"/>
    <n v="40"/>
    <s v="T2"/>
    <n v="107000"/>
    <n v="107000"/>
    <x v="1"/>
    <n v="0"/>
    <x v="1"/>
    <x v="4"/>
  </r>
  <r>
    <n v="13598"/>
    <s v="Itzel"/>
    <s v="Santacruz"/>
    <n v="46"/>
    <n v="19"/>
    <x v="0"/>
    <x v="4"/>
    <x v="5"/>
    <s v="yes"/>
    <n v="24"/>
    <s v="T4"/>
    <n v="115000"/>
    <n v="69000"/>
    <x v="0"/>
    <n v="46000"/>
    <x v="0"/>
    <x v="6"/>
  </r>
  <r>
    <n v="20082"/>
    <s v="Heather"/>
    <s v="Johnson"/>
    <n v="33"/>
    <n v="5"/>
    <x v="0"/>
    <x v="3"/>
    <x v="1"/>
    <s v="no"/>
    <n v="24"/>
    <s v="T3"/>
    <n v="98000"/>
    <n v="58800"/>
    <x v="2"/>
    <n v="39200"/>
    <x v="0"/>
    <x v="0"/>
  </r>
  <r>
    <n v="19180"/>
    <s v="Timothy"/>
    <s v="Pittman"/>
    <n v="29"/>
    <n v="11"/>
    <x v="1"/>
    <x v="1"/>
    <x v="2"/>
    <s v="no"/>
    <n v="32"/>
    <s v="T2"/>
    <n v="95550"/>
    <n v="76440"/>
    <x v="2"/>
    <n v="19110"/>
    <x v="0"/>
    <x v="4"/>
  </r>
  <r>
    <n v="22412"/>
    <s v="Sean"/>
    <s v="Johnson"/>
    <n v="28"/>
    <n v="0"/>
    <x v="1"/>
    <x v="4"/>
    <x v="2"/>
    <s v="no"/>
    <n v="40"/>
    <s v="T2"/>
    <n v="107000"/>
    <n v="107000"/>
    <x v="1"/>
    <n v="0"/>
    <x v="1"/>
    <x v="4"/>
  </r>
  <r>
    <n v="1575"/>
    <s v="Lisa"/>
    <s v="Clark"/>
    <n v="37"/>
    <n v="6"/>
    <x v="0"/>
    <x v="4"/>
    <x v="3"/>
    <s v="no"/>
    <n v="20"/>
    <s v="T4"/>
    <n v="115000"/>
    <n v="57500"/>
    <x v="0"/>
    <n v="57500"/>
    <x v="0"/>
    <x v="3"/>
  </r>
  <r>
    <n v="3437"/>
    <s v="Antonio"/>
    <s v="Griego"/>
    <n v="44"/>
    <n v="25"/>
    <x v="0"/>
    <x v="3"/>
    <x v="1"/>
    <s v="no"/>
    <n v="20"/>
    <s v="T2"/>
    <n v="85000"/>
    <n v="53125"/>
    <x v="0"/>
    <n v="31875"/>
    <x v="0"/>
    <x v="2"/>
  </r>
  <r>
    <n v="16261"/>
    <s v="Donna"/>
    <s v="Hall"/>
    <n v="43"/>
    <n v="2"/>
    <x v="0"/>
    <x v="2"/>
    <x v="0"/>
    <s v="no"/>
    <n v="20"/>
    <s v="T2"/>
    <n v="92582"/>
    <n v="46291"/>
    <x v="2"/>
    <n v="46291"/>
    <x v="0"/>
    <x v="2"/>
  </r>
  <r>
    <n v="1499"/>
    <s v="Эраст"/>
    <s v="Игнатов"/>
    <n v="26"/>
    <n v="5"/>
    <x v="1"/>
    <x v="3"/>
    <x v="0"/>
    <s v="no"/>
    <n v="20"/>
    <s v="T3"/>
    <n v="120802"/>
    <n v="60401"/>
    <x v="1"/>
    <n v="60401"/>
    <x v="0"/>
    <x v="4"/>
  </r>
  <r>
    <n v="21748"/>
    <s v="Anthony"/>
    <s v="Hobbs"/>
    <n v="59"/>
    <n v="6"/>
    <x v="1"/>
    <x v="1"/>
    <x v="2"/>
    <s v="no"/>
    <n v="40"/>
    <s v="T2"/>
    <n v="102126"/>
    <n v="102126"/>
    <x v="1"/>
    <n v="0"/>
    <x v="1"/>
    <x v="1"/>
  </r>
  <r>
    <n v="14731"/>
    <s v="Amanda"/>
    <s v="George"/>
    <n v="33"/>
    <n v="9"/>
    <x v="0"/>
    <x v="3"/>
    <x v="1"/>
    <s v="no"/>
    <n v="40"/>
    <s v="T2"/>
    <n v="91678"/>
    <n v="91678"/>
    <x v="1"/>
    <n v="0"/>
    <x v="1"/>
    <x v="0"/>
  </r>
  <r>
    <n v="5133"/>
    <s v="Gregory"/>
    <s v="Gonzalez"/>
    <n v="58"/>
    <n v="12"/>
    <x v="1"/>
    <x v="3"/>
    <x v="2"/>
    <s v="yes"/>
    <n v="20"/>
    <s v="T1"/>
    <n v="75011"/>
    <n v="37505.5"/>
    <x v="2"/>
    <n v="37505.5"/>
    <x v="0"/>
    <x v="1"/>
  </r>
  <r>
    <n v="15815"/>
    <s v="Teresa"/>
    <s v="Cain"/>
    <n v="39"/>
    <n v="16"/>
    <x v="0"/>
    <x v="4"/>
    <x v="1"/>
    <s v="no"/>
    <n v="20"/>
    <s v="T5"/>
    <n v="130000"/>
    <n v="65000"/>
    <x v="0"/>
    <n v="65000"/>
    <x v="0"/>
    <x v="3"/>
  </r>
  <r>
    <n v="6641"/>
    <s v="Jennifer"/>
    <s v="Meyer"/>
    <n v="59"/>
    <n v="14"/>
    <x v="0"/>
    <x v="2"/>
    <x v="2"/>
    <s v="no"/>
    <n v="32"/>
    <s v="T1"/>
    <n v="73356"/>
    <n v="58684.800000000003"/>
    <x v="0"/>
    <n v="14671.199999999997"/>
    <x v="0"/>
    <x v="1"/>
  </r>
  <r>
    <n v="2334"/>
    <s v="Martin"/>
    <s v="Matthews"/>
    <n v="49"/>
    <n v="8"/>
    <x v="1"/>
    <x v="1"/>
    <x v="2"/>
    <s v="no"/>
    <n v="32"/>
    <s v="T1"/>
    <n v="73440"/>
    <n v="58752"/>
    <x v="0"/>
    <n v="14688"/>
    <x v="0"/>
    <x v="6"/>
  </r>
  <r>
    <n v="9211"/>
    <s v="John"/>
    <s v="Collins"/>
    <n v="65"/>
    <n v="37"/>
    <x v="1"/>
    <x v="1"/>
    <x v="1"/>
    <s v="yes"/>
    <n v="32"/>
    <s v="T4"/>
    <n v="124200"/>
    <n v="99360"/>
    <x v="0"/>
    <n v="24840"/>
    <x v="0"/>
    <x v="1"/>
  </r>
  <r>
    <n v="13109"/>
    <s v="Itzel"/>
    <s v="Varela"/>
    <n v="25"/>
    <n v="2"/>
    <x v="0"/>
    <x v="0"/>
    <x v="3"/>
    <s v="no"/>
    <n v="40"/>
    <s v="T4"/>
    <n v="124270"/>
    <n v="124270"/>
    <x v="2"/>
    <n v="0"/>
    <x v="1"/>
    <x v="4"/>
  </r>
  <r>
    <n v="11413"/>
    <s v="Jody"/>
    <s v="Vincent"/>
    <n v="48"/>
    <n v="11"/>
    <x v="0"/>
    <x v="3"/>
    <x v="3"/>
    <s v="no"/>
    <n v="40"/>
    <s v="T3"/>
    <n v="98000"/>
    <n v="98000"/>
    <x v="1"/>
    <n v="0"/>
    <x v="1"/>
    <x v="6"/>
  </r>
  <r>
    <n v="7622"/>
    <s v="Adam"/>
    <s v="Robertson"/>
    <n v="40"/>
    <n v="5"/>
    <x v="1"/>
    <x v="2"/>
    <x v="2"/>
    <s v="no"/>
    <n v="20"/>
    <s v="T1"/>
    <n v="80502"/>
    <n v="40251"/>
    <x v="1"/>
    <n v="40251"/>
    <x v="0"/>
    <x v="3"/>
  </r>
  <r>
    <n v="15586"/>
    <s v="Jordan"/>
    <s v="Lucas"/>
    <n v="44"/>
    <n v="9"/>
    <x v="1"/>
    <x v="1"/>
    <x v="2"/>
    <s v="no"/>
    <n v="40"/>
    <s v="T3"/>
    <n v="108283"/>
    <n v="108283"/>
    <x v="2"/>
    <n v="0"/>
    <x v="1"/>
    <x v="2"/>
  </r>
  <r>
    <n v="11397"/>
    <s v="Alexander"/>
    <s v="Henderson"/>
    <n v="49"/>
    <n v="15"/>
    <x v="1"/>
    <x v="1"/>
    <x v="1"/>
    <s v="no"/>
    <n v="40"/>
    <s v="T2"/>
    <n v="105403"/>
    <n v="105403"/>
    <x v="1"/>
    <n v="0"/>
    <x v="1"/>
    <x v="6"/>
  </r>
  <r>
    <n v="11746"/>
    <s v="Elizabeth"/>
    <s v="Greer"/>
    <n v="43"/>
    <n v="17"/>
    <x v="0"/>
    <x v="1"/>
    <x v="3"/>
    <s v="no"/>
    <n v="40"/>
    <s v="T2"/>
    <n v="89078"/>
    <n v="89078"/>
    <x v="2"/>
    <n v="0"/>
    <x v="1"/>
    <x v="2"/>
  </r>
  <r>
    <n v="9804"/>
    <s v="David"/>
    <s v="Dennis"/>
    <n v="62"/>
    <n v="20"/>
    <x v="1"/>
    <x v="0"/>
    <x v="3"/>
    <s v="yes"/>
    <n v="40"/>
    <s v="T4"/>
    <n v="131526"/>
    <n v="131526"/>
    <x v="1"/>
    <n v="0"/>
    <x v="1"/>
    <x v="1"/>
  </r>
  <r>
    <n v="14500"/>
    <s v="Brenda"/>
    <s v="Garcia"/>
    <n v="47"/>
    <n v="25"/>
    <x v="0"/>
    <x v="4"/>
    <x v="0"/>
    <s v="yes"/>
    <n v="20"/>
    <s v="T5"/>
    <n v="130000"/>
    <n v="81250"/>
    <x v="0"/>
    <n v="48750"/>
    <x v="0"/>
    <x v="6"/>
  </r>
  <r>
    <n v="8953"/>
    <s v="Pamela"/>
    <s v="Johnson"/>
    <n v="40"/>
    <n v="10"/>
    <x v="0"/>
    <x v="4"/>
    <x v="3"/>
    <s v="no"/>
    <n v="20"/>
    <s v="T1"/>
    <n v="68000"/>
    <n v="34000"/>
    <x v="0"/>
    <n v="34000"/>
    <x v="0"/>
    <x v="3"/>
  </r>
  <r>
    <n v="3370"/>
    <s v="Erin"/>
    <s v="Sullivan"/>
    <n v="42"/>
    <n v="8"/>
    <x v="0"/>
    <x v="2"/>
    <x v="3"/>
    <s v="no"/>
    <n v="40"/>
    <s v="T3"/>
    <n v="99528"/>
    <n v="99528"/>
    <x v="2"/>
    <n v="0"/>
    <x v="1"/>
    <x v="2"/>
  </r>
  <r>
    <n v="16098"/>
    <s v="Kayla"/>
    <s v="Moore"/>
    <n v="49"/>
    <n v="31"/>
    <x v="0"/>
    <x v="3"/>
    <x v="2"/>
    <s v="no"/>
    <n v="20"/>
    <s v="T2"/>
    <n v="85000"/>
    <n v="42500"/>
    <x v="0"/>
    <n v="42500"/>
    <x v="0"/>
    <x v="6"/>
  </r>
  <r>
    <n v="1322"/>
    <s v="Laura"/>
    <s v="Garza"/>
    <n v="52"/>
    <n v="6"/>
    <x v="0"/>
    <x v="3"/>
    <x v="1"/>
    <s v="no"/>
    <n v="40"/>
    <s v="T2"/>
    <n v="86515"/>
    <n v="86515"/>
    <x v="1"/>
    <n v="0"/>
    <x v="1"/>
    <x v="1"/>
  </r>
  <r>
    <n v="18362"/>
    <s v="Kevin"/>
    <s v="Murillo"/>
    <n v="28"/>
    <n v="2"/>
    <x v="1"/>
    <x v="4"/>
    <x v="2"/>
    <s v="no"/>
    <n v="40"/>
    <s v="T2"/>
    <n v="105939"/>
    <n v="105939"/>
    <x v="1"/>
    <n v="0"/>
    <x v="1"/>
    <x v="4"/>
  </r>
  <r>
    <n v="2393"/>
    <s v="Jeffrey"/>
    <s v="Mcbride"/>
    <n v="39"/>
    <n v="0"/>
    <x v="1"/>
    <x v="1"/>
    <x v="3"/>
    <s v="no"/>
    <n v="40"/>
    <s v="T2"/>
    <n v="107000"/>
    <n v="107000"/>
    <x v="1"/>
    <n v="0"/>
    <x v="1"/>
    <x v="3"/>
  </r>
  <r>
    <n v="12154"/>
    <s v="Micheal"/>
    <s v="Duran"/>
    <n v="44"/>
    <n v="23"/>
    <x v="1"/>
    <x v="1"/>
    <x v="1"/>
    <s v="no"/>
    <n v="20"/>
    <s v="T5"/>
    <n v="140400"/>
    <n v="70200"/>
    <x v="2"/>
    <n v="70200"/>
    <x v="0"/>
    <x v="2"/>
  </r>
  <r>
    <n v="8034"/>
    <s v="Jennifer"/>
    <s v="Jones"/>
    <n v="57"/>
    <n v="36"/>
    <x v="0"/>
    <x v="2"/>
    <x v="2"/>
    <s v="no"/>
    <n v="40"/>
    <s v="T3"/>
    <n v="98000"/>
    <n v="98000"/>
    <x v="2"/>
    <n v="0"/>
    <x v="1"/>
    <x v="1"/>
  </r>
  <r>
    <n v="21990"/>
    <s v="Glenn"/>
    <s v="Begum"/>
    <n v="49"/>
    <n v="30"/>
    <x v="1"/>
    <x v="3"/>
    <x v="3"/>
    <s v="no"/>
    <n v="16"/>
    <s v="T1"/>
    <n v="73440"/>
    <n v="29376"/>
    <x v="0"/>
    <n v="44064"/>
    <x v="0"/>
    <x v="6"/>
  </r>
  <r>
    <n v="2935"/>
    <s v="Germán"/>
    <s v="Baca"/>
    <n v="41"/>
    <n v="21"/>
    <x v="0"/>
    <x v="3"/>
    <x v="2"/>
    <s v="no"/>
    <n v="40"/>
    <s v="T2"/>
    <n v="85000"/>
    <n v="85000"/>
    <x v="2"/>
    <n v="0"/>
    <x v="1"/>
    <x v="2"/>
  </r>
  <r>
    <n v="4869"/>
    <s v="Darlene"/>
    <s v="Gomez"/>
    <n v="57"/>
    <n v="29"/>
    <x v="0"/>
    <x v="0"/>
    <x v="0"/>
    <s v="yes"/>
    <n v="20"/>
    <s v="T2"/>
    <n v="91934"/>
    <n v="45967"/>
    <x v="0"/>
    <n v="45967"/>
    <x v="0"/>
    <x v="1"/>
  </r>
  <r>
    <n v="22043"/>
    <s v="Jose"/>
    <s v="Washington"/>
    <n v="36"/>
    <n v="1"/>
    <x v="1"/>
    <x v="2"/>
    <x v="1"/>
    <s v="yes"/>
    <n v="32"/>
    <s v="T3"/>
    <n v="115016"/>
    <n v="92012.800000000003"/>
    <x v="1"/>
    <n v="23003.199999999997"/>
    <x v="0"/>
    <x v="3"/>
  </r>
  <r>
    <n v="2006"/>
    <s v="Patricio"/>
    <s v="Saldivar"/>
    <n v="48"/>
    <n v="3"/>
    <x v="1"/>
    <x v="0"/>
    <x v="1"/>
    <s v="no"/>
    <n v="40"/>
    <s v="T3"/>
    <n v="120233"/>
    <n v="120233"/>
    <x v="0"/>
    <n v="0"/>
    <x v="1"/>
    <x v="6"/>
  </r>
  <r>
    <n v="1703"/>
    <s v="Javier"/>
    <s v="Holt"/>
    <n v="40"/>
    <n v="9"/>
    <x v="1"/>
    <x v="0"/>
    <x v="2"/>
    <s v="no"/>
    <n v="40"/>
    <s v="T1"/>
    <n v="87000"/>
    <n v="87000"/>
    <x v="2"/>
    <n v="0"/>
    <x v="1"/>
    <x v="3"/>
  </r>
  <r>
    <n v="8789"/>
    <s v="Trinidad"/>
    <s v="Saldaña"/>
    <n v="44"/>
    <n v="8"/>
    <x v="1"/>
    <x v="1"/>
    <x v="6"/>
    <s v="no"/>
    <n v="20"/>
    <s v="T5"/>
    <n v="140400"/>
    <n v="70200"/>
    <x v="2"/>
    <n v="70200"/>
    <x v="0"/>
    <x v="2"/>
  </r>
  <r>
    <n v="7219"/>
    <s v="Hermelinda"/>
    <s v="Bahena"/>
    <n v="45"/>
    <n v="11"/>
    <x v="1"/>
    <x v="0"/>
    <x v="2"/>
    <s v="yes"/>
    <n v="40"/>
    <s v="T1"/>
    <n v="83984"/>
    <n v="83984"/>
    <x v="2"/>
    <n v="0"/>
    <x v="1"/>
    <x v="2"/>
  </r>
  <r>
    <n v="1354"/>
    <s v="Mayte"/>
    <s v="Jaramillo"/>
    <n v="25"/>
    <n v="4"/>
    <x v="0"/>
    <x v="3"/>
    <x v="2"/>
    <s v="no"/>
    <n v="20"/>
    <s v="T2"/>
    <n v="85000"/>
    <n v="42500"/>
    <x v="2"/>
    <n v="42500"/>
    <x v="0"/>
    <x v="4"/>
  </r>
  <r>
    <n v="21046"/>
    <s v="William"/>
    <s v="Mcgrath"/>
    <n v="45"/>
    <n v="14"/>
    <x v="1"/>
    <x v="2"/>
    <x v="3"/>
    <s v="no"/>
    <n v="40"/>
    <s v="T3"/>
    <n v="122000"/>
    <n v="122000"/>
    <x v="1"/>
    <n v="0"/>
    <x v="1"/>
    <x v="2"/>
  </r>
  <r>
    <n v="5680"/>
    <s v="Brian"/>
    <s v="Thomas"/>
    <n v="38"/>
    <n v="7"/>
    <x v="1"/>
    <x v="0"/>
    <x v="1"/>
    <s v="no"/>
    <n v="40"/>
    <s v="T2"/>
    <n v="94590"/>
    <n v="94590"/>
    <x v="2"/>
    <n v="0"/>
    <x v="1"/>
    <x v="3"/>
  </r>
  <r>
    <n v="8503"/>
    <s v="James"/>
    <s v="Mccarty"/>
    <n v="63"/>
    <n v="13"/>
    <x v="1"/>
    <x v="1"/>
    <x v="5"/>
    <s v="yes"/>
    <n v="32"/>
    <s v="T5"/>
    <n v="140400"/>
    <n v="112320"/>
    <x v="2"/>
    <n v="28080"/>
    <x v="0"/>
    <x v="1"/>
  </r>
  <r>
    <n v="4823"/>
    <s v="Amber"/>
    <s v="Roach"/>
    <n v="55"/>
    <n v="26"/>
    <x v="0"/>
    <x v="3"/>
    <x v="1"/>
    <s v="yes"/>
    <n v="8"/>
    <s v="T4"/>
    <n v="115000"/>
    <n v="23000"/>
    <x v="0"/>
    <n v="92000"/>
    <x v="0"/>
    <x v="1"/>
  </r>
  <r>
    <n v="16204"/>
    <s v="Patricio"/>
    <s v="Olivárez"/>
    <n v="25"/>
    <n v="1"/>
    <x v="1"/>
    <x v="4"/>
    <x v="3"/>
    <s v="no"/>
    <n v="40"/>
    <s v="T2"/>
    <n v="106713"/>
    <n v="106713"/>
    <x v="1"/>
    <n v="0"/>
    <x v="1"/>
    <x v="4"/>
  </r>
  <r>
    <n v="22623"/>
    <s v="Rachel"/>
    <s v="Mitchell"/>
    <n v="28"/>
    <n v="3"/>
    <x v="0"/>
    <x v="2"/>
    <x v="1"/>
    <s v="no"/>
    <n v="20"/>
    <s v="T2"/>
    <n v="85000"/>
    <n v="42500"/>
    <x v="0"/>
    <n v="42500"/>
    <x v="0"/>
    <x v="4"/>
  </r>
  <r>
    <n v="4435"/>
    <s v="Michael"/>
    <s v="Brown"/>
    <n v="48"/>
    <n v="10"/>
    <x v="1"/>
    <x v="1"/>
    <x v="1"/>
    <s v="no"/>
    <n v="40"/>
    <s v="T3"/>
    <n v="109464"/>
    <n v="109464"/>
    <x v="1"/>
    <n v="0"/>
    <x v="1"/>
    <x v="6"/>
  </r>
  <r>
    <n v="19167"/>
    <s v="Mary"/>
    <s v="Barnes"/>
    <n v="51"/>
    <n v="32"/>
    <x v="0"/>
    <x v="4"/>
    <x v="5"/>
    <s v="yes"/>
    <n v="24"/>
    <s v="T5"/>
    <n v="130000"/>
    <n v="78000"/>
    <x v="1"/>
    <n v="52000"/>
    <x v="0"/>
    <x v="1"/>
  </r>
  <r>
    <n v="7829"/>
    <s v="Jennifer"/>
    <s v="Bell"/>
    <n v="52"/>
    <n v="29"/>
    <x v="0"/>
    <x v="1"/>
    <x v="1"/>
    <s v="yes"/>
    <n v="20"/>
    <s v="T3"/>
    <n v="98000"/>
    <n v="49000"/>
    <x v="2"/>
    <n v="49000"/>
    <x v="0"/>
    <x v="1"/>
  </r>
  <r>
    <n v="15925"/>
    <s v="Kim"/>
    <s v="Jackson"/>
    <n v="44"/>
    <n v="15"/>
    <x v="0"/>
    <x v="4"/>
    <x v="0"/>
    <s v="yes"/>
    <n v="32"/>
    <s v="T3"/>
    <n v="98000"/>
    <n v="78400"/>
    <x v="0"/>
    <n v="19600"/>
    <x v="0"/>
    <x v="2"/>
  </r>
  <r>
    <n v="9083"/>
    <s v="Ann"/>
    <s v="Wright"/>
    <n v="57"/>
    <n v="35"/>
    <x v="0"/>
    <x v="2"/>
    <x v="6"/>
    <s v="yes"/>
    <n v="8"/>
    <s v="T3"/>
    <n v="98000"/>
    <n v="19600"/>
    <x v="2"/>
    <n v="78400"/>
    <x v="0"/>
    <x v="1"/>
  </r>
  <r>
    <n v="12774"/>
    <s v="Lilia"/>
    <s v="Cazares"/>
    <n v="39"/>
    <n v="21"/>
    <x v="0"/>
    <x v="4"/>
    <x v="3"/>
    <s v="no"/>
    <n v="40"/>
    <s v="T4"/>
    <n v="123924"/>
    <n v="123924"/>
    <x v="2"/>
    <n v="0"/>
    <x v="1"/>
    <x v="3"/>
  </r>
  <r>
    <n v="6185"/>
    <s v="Gabino"/>
    <s v="Gallardo"/>
    <n v="61"/>
    <n v="42"/>
    <x v="1"/>
    <x v="4"/>
    <x v="2"/>
    <s v="no"/>
    <n v="24"/>
    <s v="T1"/>
    <n v="74977"/>
    <n v="44986.2"/>
    <x v="2"/>
    <n v="29990.800000000003"/>
    <x v="0"/>
    <x v="1"/>
  </r>
  <r>
    <n v="20540"/>
    <s v="Chad"/>
    <s v="Wilkinson"/>
    <n v="56"/>
    <n v="11"/>
    <x v="1"/>
    <x v="2"/>
    <x v="3"/>
    <s v="yes"/>
    <n v="32"/>
    <s v="T1"/>
    <n v="73440"/>
    <n v="58752"/>
    <x v="2"/>
    <n v="14688"/>
    <x v="0"/>
    <x v="1"/>
  </r>
  <r>
    <n v="20585"/>
    <s v="Danielle"/>
    <s v="Stuart"/>
    <n v="46"/>
    <n v="5"/>
    <x v="0"/>
    <x v="1"/>
    <x v="2"/>
    <s v="no"/>
    <n v="20"/>
    <s v="T3"/>
    <n v="98000"/>
    <n v="49000"/>
    <x v="0"/>
    <n v="49000"/>
    <x v="0"/>
    <x v="6"/>
  </r>
  <r>
    <n v="6053"/>
    <s v="Michael"/>
    <s v="Mullins"/>
    <n v="40"/>
    <n v="17"/>
    <x v="1"/>
    <x v="0"/>
    <x v="4"/>
    <s v="no"/>
    <n v="40"/>
    <s v="T4"/>
    <n v="133188"/>
    <n v="133188"/>
    <x v="2"/>
    <n v="0"/>
    <x v="1"/>
    <x v="3"/>
  </r>
  <r>
    <n v="10879"/>
    <s v="Charles"/>
    <s v="Reyes"/>
    <n v="37"/>
    <n v="6"/>
    <x v="1"/>
    <x v="2"/>
    <x v="2"/>
    <s v="no"/>
    <n v="32"/>
    <s v="T1"/>
    <n v="77852"/>
    <n v="62281.599999999999"/>
    <x v="2"/>
    <n v="15570.400000000001"/>
    <x v="0"/>
    <x v="3"/>
  </r>
  <r>
    <n v="19649"/>
    <s v="Humberto"/>
    <s v="Rael"/>
    <n v="37"/>
    <n v="0"/>
    <x v="1"/>
    <x v="1"/>
    <x v="0"/>
    <s v="yes"/>
    <n v="20"/>
    <s v="T5"/>
    <n v="140400"/>
    <n v="70200"/>
    <x v="0"/>
    <n v="70200"/>
    <x v="0"/>
    <x v="3"/>
  </r>
  <r>
    <n v="13761"/>
    <s v="Jeffrey"/>
    <s v="White"/>
    <n v="53"/>
    <n v="29"/>
    <x v="1"/>
    <x v="0"/>
    <x v="1"/>
    <s v="no"/>
    <n v="20"/>
    <s v="T4"/>
    <n v="138000"/>
    <n v="69000"/>
    <x v="2"/>
    <n v="69000"/>
    <x v="0"/>
    <x v="1"/>
  </r>
  <r>
    <n v="1528"/>
    <s v="Jennifer"/>
    <s v="Solis"/>
    <n v="58"/>
    <n v="13"/>
    <x v="0"/>
    <x v="0"/>
    <x v="4"/>
    <s v="yes"/>
    <n v="40"/>
    <s v="T4"/>
    <n v="119706"/>
    <n v="119706"/>
    <x v="0"/>
    <n v="0"/>
    <x v="1"/>
    <x v="1"/>
  </r>
  <r>
    <n v="10909"/>
    <s v="Cristina"/>
    <s v="Barajas"/>
    <n v="28"/>
    <n v="5"/>
    <x v="0"/>
    <x v="4"/>
    <x v="2"/>
    <s v="no"/>
    <n v="32"/>
    <s v="T3"/>
    <n v="98000"/>
    <n v="78400"/>
    <x v="0"/>
    <n v="19600"/>
    <x v="0"/>
    <x v="4"/>
  </r>
  <r>
    <n v="19554"/>
    <s v="Heather"/>
    <s v="Leach"/>
    <n v="50"/>
    <n v="31"/>
    <x v="0"/>
    <x v="1"/>
    <x v="1"/>
    <s v="no"/>
    <n v="40"/>
    <s v="T3"/>
    <n v="99025"/>
    <n v="99025"/>
    <x v="2"/>
    <n v="0"/>
    <x v="1"/>
    <x v="1"/>
  </r>
  <r>
    <n v="12985"/>
    <s v="Humberto"/>
    <s v="Carranza"/>
    <n v="35"/>
    <n v="17"/>
    <x v="0"/>
    <x v="3"/>
    <x v="3"/>
    <s v="no"/>
    <n v="32"/>
    <s v="T1"/>
    <n v="68000"/>
    <n v="54400"/>
    <x v="0"/>
    <n v="13600"/>
    <x v="0"/>
    <x v="0"/>
  </r>
  <r>
    <n v="13684"/>
    <s v="Evelyne"/>
    <s v="Atzler"/>
    <n v="55"/>
    <n v="17"/>
    <x v="0"/>
    <x v="4"/>
    <x v="3"/>
    <s v="no"/>
    <n v="32"/>
    <s v="T2"/>
    <n v="85000"/>
    <n v="68000"/>
    <x v="0"/>
    <n v="17000"/>
    <x v="0"/>
    <x v="1"/>
  </r>
  <r>
    <n v="7185"/>
    <s v="Эмилия"/>
    <s v="Хохлова"/>
    <n v="46"/>
    <n v="11"/>
    <x v="0"/>
    <x v="1"/>
    <x v="3"/>
    <s v="yes"/>
    <n v="32"/>
    <s v="T1"/>
    <n v="68000"/>
    <n v="54400"/>
    <x v="0"/>
    <n v="13600"/>
    <x v="0"/>
    <x v="6"/>
  </r>
  <r>
    <n v="3177"/>
    <s v="Raymond"/>
    <s v="Lee"/>
    <n v="26"/>
    <n v="4"/>
    <x v="1"/>
    <x v="0"/>
    <x v="3"/>
    <s v="no"/>
    <n v="40"/>
    <s v="T1"/>
    <n v="85479"/>
    <n v="85479"/>
    <x v="2"/>
    <n v="0"/>
    <x v="1"/>
    <x v="4"/>
  </r>
  <r>
    <n v="20088"/>
    <s v="Adriana"/>
    <s v="Concepción"/>
    <n v="47"/>
    <n v="10"/>
    <x v="0"/>
    <x v="1"/>
    <x v="1"/>
    <s v="no"/>
    <n v="40"/>
    <s v="T2"/>
    <n v="98104"/>
    <n v="98104"/>
    <x v="1"/>
    <n v="0"/>
    <x v="1"/>
    <x v="6"/>
  </r>
  <r>
    <n v="21240"/>
    <s v="José Luis"/>
    <s v="Carrera"/>
    <n v="38"/>
    <n v="9"/>
    <x v="1"/>
    <x v="3"/>
    <x v="3"/>
    <s v="no"/>
    <n v="20"/>
    <s v="T1"/>
    <n v="81753"/>
    <n v="40876.5"/>
    <x v="2"/>
    <n v="40876.5"/>
    <x v="0"/>
    <x v="3"/>
  </r>
  <r>
    <n v="8644"/>
    <s v="Ilse"/>
    <s v="Almonte"/>
    <n v="44"/>
    <n v="11"/>
    <x v="1"/>
    <x v="3"/>
    <x v="1"/>
    <s v="no"/>
    <n v="40"/>
    <s v="T3"/>
    <n v="108432"/>
    <n v="108432"/>
    <x v="2"/>
    <n v="0"/>
    <x v="1"/>
    <x v="2"/>
  </r>
  <r>
    <n v="4026"/>
    <s v="Melissa"/>
    <s v="Morris"/>
    <n v="34"/>
    <n v="14"/>
    <x v="0"/>
    <x v="0"/>
    <x v="2"/>
    <s v="no"/>
    <n v="40"/>
    <s v="T2"/>
    <n v="86908"/>
    <n v="86908"/>
    <x v="2"/>
    <n v="0"/>
    <x v="1"/>
    <x v="0"/>
  </r>
  <r>
    <n v="10569"/>
    <s v="Charles"/>
    <s v="Nash"/>
    <n v="51"/>
    <n v="22"/>
    <x v="1"/>
    <x v="1"/>
    <x v="2"/>
    <s v="no"/>
    <n v="40"/>
    <s v="T3"/>
    <n v="116184"/>
    <n v="116184"/>
    <x v="2"/>
    <n v="0"/>
    <x v="1"/>
    <x v="1"/>
  </r>
  <r>
    <n v="20361"/>
    <s v="Darius"/>
    <s v="Vasquez"/>
    <n v="57"/>
    <n v="1"/>
    <x v="1"/>
    <x v="1"/>
    <x v="2"/>
    <s v="no"/>
    <n v="32"/>
    <s v="T1"/>
    <n v="81234"/>
    <n v="64987.199999999997"/>
    <x v="2"/>
    <n v="16246.800000000003"/>
    <x v="0"/>
    <x v="1"/>
  </r>
  <r>
    <n v="4653"/>
    <s v="Ryan"/>
    <s v="Rodriguez"/>
    <n v="32"/>
    <n v="13"/>
    <x v="1"/>
    <x v="1"/>
    <x v="0"/>
    <s v="no"/>
    <n v="32"/>
    <s v="T4"/>
    <n v="124200"/>
    <n v="99360"/>
    <x v="2"/>
    <n v="24840"/>
    <x v="0"/>
    <x v="0"/>
  </r>
  <r>
    <n v="19231"/>
    <s v="William"/>
    <s v="Wright"/>
    <n v="26"/>
    <n v="1"/>
    <x v="1"/>
    <x v="4"/>
    <x v="0"/>
    <s v="no"/>
    <n v="16"/>
    <s v="T5"/>
    <n v="140400"/>
    <n v="56160"/>
    <x v="2"/>
    <n v="84240"/>
    <x v="0"/>
    <x v="4"/>
  </r>
  <r>
    <n v="2032"/>
    <s v="Anthony"/>
    <s v="Flowers"/>
    <n v="52"/>
    <n v="32"/>
    <x v="1"/>
    <x v="2"/>
    <x v="1"/>
    <s v="yes"/>
    <n v="20"/>
    <s v="T3"/>
    <n v="107125"/>
    <n v="53562.5"/>
    <x v="2"/>
    <n v="53562.5"/>
    <x v="0"/>
    <x v="1"/>
  </r>
  <r>
    <n v="12064"/>
    <s v="Kirsty"/>
    <s v="Kemp"/>
    <n v="32"/>
    <n v="1"/>
    <x v="0"/>
    <x v="4"/>
    <x v="0"/>
    <s v="no"/>
    <n v="32"/>
    <s v="T2"/>
    <n v="85000"/>
    <n v="68000"/>
    <x v="0"/>
    <n v="17000"/>
    <x v="0"/>
    <x v="0"/>
  </r>
  <r>
    <n v="18143"/>
    <s v="Lisa"/>
    <s v="Wolfe"/>
    <n v="49"/>
    <n v="17"/>
    <x v="0"/>
    <x v="3"/>
    <x v="1"/>
    <s v="yes"/>
    <n v="24"/>
    <s v="T4"/>
    <n v="115000"/>
    <n v="69000"/>
    <x v="1"/>
    <n v="46000"/>
    <x v="0"/>
    <x v="6"/>
  </r>
  <r>
    <n v="14724"/>
    <s v="James"/>
    <s v="Williams"/>
    <n v="55"/>
    <n v="23"/>
    <x v="1"/>
    <x v="3"/>
    <x v="3"/>
    <s v="no"/>
    <n v="40"/>
    <s v="T2"/>
    <n v="98481"/>
    <n v="98481"/>
    <x v="2"/>
    <n v="0"/>
    <x v="1"/>
    <x v="1"/>
  </r>
  <r>
    <n v="22363"/>
    <s v="Kathryn"/>
    <s v="Oconnor"/>
    <n v="44"/>
    <n v="7"/>
    <x v="0"/>
    <x v="3"/>
    <x v="5"/>
    <s v="yes"/>
    <n v="24"/>
    <s v="T4"/>
    <n v="115000"/>
    <n v="69000"/>
    <x v="2"/>
    <n v="46000"/>
    <x v="0"/>
    <x v="2"/>
  </r>
  <r>
    <n v="12829"/>
    <s v="Michael"/>
    <s v="Harrison"/>
    <n v="60"/>
    <n v="0"/>
    <x v="1"/>
    <x v="0"/>
    <x v="2"/>
    <s v="no"/>
    <n v="40"/>
    <s v="T3"/>
    <n v="122000"/>
    <n v="122000"/>
    <x v="1"/>
    <n v="0"/>
    <x v="1"/>
    <x v="1"/>
  </r>
  <r>
    <n v="2946"/>
    <s v="Antony"/>
    <s v="Reynolds"/>
    <n v="38"/>
    <n v="12"/>
    <x v="1"/>
    <x v="4"/>
    <x v="1"/>
    <s v="no"/>
    <n v="40"/>
    <s v="T2"/>
    <n v="94084"/>
    <n v="94084"/>
    <x v="2"/>
    <n v="0"/>
    <x v="1"/>
    <x v="3"/>
  </r>
  <r>
    <n v="17266"/>
    <s v="Eric"/>
    <s v="Partida"/>
    <n v="48"/>
    <n v="1"/>
    <x v="1"/>
    <x v="2"/>
    <x v="2"/>
    <s v="no"/>
    <n v="16"/>
    <s v="T1"/>
    <n v="75128"/>
    <n v="30051.200000000001"/>
    <x v="1"/>
    <n v="45076.800000000003"/>
    <x v="0"/>
    <x v="6"/>
  </r>
  <r>
    <n v="21905"/>
    <s v="Vicente"/>
    <s v="Cortés"/>
    <n v="49"/>
    <n v="20"/>
    <x v="0"/>
    <x v="4"/>
    <x v="0"/>
    <s v="no"/>
    <n v="16"/>
    <s v="T5"/>
    <n v="130000"/>
    <n v="52000"/>
    <x v="0"/>
    <n v="78000"/>
    <x v="0"/>
    <x v="6"/>
  </r>
  <r>
    <n v="11868"/>
    <s v="Omar"/>
    <s v="Ocampo"/>
    <n v="41"/>
    <n v="15"/>
    <x v="1"/>
    <x v="4"/>
    <x v="3"/>
    <s v="no"/>
    <n v="20"/>
    <s v="T2"/>
    <n v="96267"/>
    <n v="48133.5"/>
    <x v="1"/>
    <n v="48133.5"/>
    <x v="0"/>
    <x v="2"/>
  </r>
  <r>
    <n v="1101"/>
    <s v="Kenneth"/>
    <s v="Gonzalez"/>
    <n v="59"/>
    <n v="10"/>
    <x v="1"/>
    <x v="3"/>
    <x v="2"/>
    <s v="no"/>
    <n v="40"/>
    <s v="T2"/>
    <n v="107000"/>
    <n v="107000"/>
    <x v="1"/>
    <n v="0"/>
    <x v="1"/>
    <x v="1"/>
  </r>
  <r>
    <n v="14451"/>
    <s v="Sandy"/>
    <s v="Morrison"/>
    <n v="48"/>
    <n v="0"/>
    <x v="0"/>
    <x v="4"/>
    <x v="2"/>
    <s v="yes"/>
    <n v="24"/>
    <s v="T1"/>
    <n v="68000"/>
    <n v="40800"/>
    <x v="0"/>
    <n v="27200"/>
    <x v="0"/>
    <x v="6"/>
  </r>
  <r>
    <n v="16749"/>
    <s v="Aaron"/>
    <s v="Jordan"/>
    <n v="59"/>
    <n v="35"/>
    <x v="1"/>
    <x v="3"/>
    <x v="3"/>
    <s v="no"/>
    <n v="40"/>
    <s v="T3"/>
    <n v="118476"/>
    <n v="118476"/>
    <x v="1"/>
    <n v="0"/>
    <x v="1"/>
    <x v="1"/>
  </r>
  <r>
    <n v="4145"/>
    <s v="Clemente"/>
    <s v="Esquivel"/>
    <n v="49"/>
    <n v="29"/>
    <x v="0"/>
    <x v="3"/>
    <x v="2"/>
    <s v="no"/>
    <n v="20"/>
    <s v="T1"/>
    <n v="68000"/>
    <n v="34000"/>
    <x v="0"/>
    <n v="34000"/>
    <x v="0"/>
    <x v="6"/>
  </r>
  <r>
    <n v="14892"/>
    <s v="Evan"/>
    <s v="Nelson"/>
    <n v="33"/>
    <n v="8"/>
    <x v="1"/>
    <x v="0"/>
    <x v="2"/>
    <s v="no"/>
    <n v="40"/>
    <s v="T3"/>
    <n v="116803"/>
    <n v="116803"/>
    <x v="1"/>
    <n v="0"/>
    <x v="1"/>
    <x v="0"/>
  </r>
  <r>
    <n v="12555"/>
    <s v="Eric"/>
    <s v="Gomez"/>
    <n v="29"/>
    <n v="3"/>
    <x v="1"/>
    <x v="1"/>
    <x v="1"/>
    <s v="no"/>
    <n v="40"/>
    <s v="T3"/>
    <n v="114054"/>
    <n v="114054"/>
    <x v="1"/>
    <n v="0"/>
    <x v="1"/>
    <x v="4"/>
  </r>
  <r>
    <n v="21513"/>
    <s v="Ricky"/>
    <s v="Sweeney"/>
    <n v="36"/>
    <n v="8"/>
    <x v="1"/>
    <x v="4"/>
    <x v="5"/>
    <s v="yes"/>
    <n v="32"/>
    <s v="T4"/>
    <n v="136489"/>
    <n v="109191.2"/>
    <x v="1"/>
    <n v="27297.800000000003"/>
    <x v="0"/>
    <x v="3"/>
  </r>
  <r>
    <n v="15751"/>
    <s v="Stephanie"/>
    <s v="Simmons"/>
    <n v="25"/>
    <n v="2"/>
    <x v="0"/>
    <x v="3"/>
    <x v="2"/>
    <s v="no"/>
    <n v="24"/>
    <s v="T1"/>
    <n v="68000"/>
    <n v="40800"/>
    <x v="0"/>
    <n v="27200"/>
    <x v="0"/>
    <x v="4"/>
  </r>
  <r>
    <n v="5700"/>
    <s v="Genaro"/>
    <s v="Sanches"/>
    <n v="42"/>
    <n v="10"/>
    <x v="1"/>
    <x v="3"/>
    <x v="2"/>
    <s v="no"/>
    <n v="40"/>
    <s v="T2"/>
    <n v="107000"/>
    <n v="107000"/>
    <x v="1"/>
    <n v="0"/>
    <x v="1"/>
    <x v="2"/>
  </r>
  <r>
    <n v="14957"/>
    <s v="Maria"/>
    <s v="Knight"/>
    <n v="63"/>
    <n v="22"/>
    <x v="0"/>
    <x v="4"/>
    <x v="2"/>
    <s v="no"/>
    <n v="40"/>
    <s v="T2"/>
    <n v="88661"/>
    <n v="88661"/>
    <x v="1"/>
    <n v="0"/>
    <x v="1"/>
    <x v="1"/>
  </r>
  <r>
    <n v="6458"/>
    <s v="Brittany"/>
    <s v="Boyle"/>
    <n v="44"/>
    <n v="21"/>
    <x v="0"/>
    <x v="4"/>
    <x v="1"/>
    <s v="no"/>
    <n v="32"/>
    <s v="T2"/>
    <n v="85000"/>
    <n v="68000"/>
    <x v="0"/>
    <n v="17000"/>
    <x v="0"/>
    <x v="2"/>
  </r>
  <r>
    <n v="17783"/>
    <s v="Jennifer"/>
    <s v="Jennings"/>
    <n v="47"/>
    <n v="18"/>
    <x v="0"/>
    <x v="1"/>
    <x v="6"/>
    <s v="yes"/>
    <n v="20"/>
    <s v="T3"/>
    <n v="98000"/>
    <n v="49000"/>
    <x v="2"/>
    <n v="49000"/>
    <x v="0"/>
    <x v="6"/>
  </r>
  <r>
    <n v="3895"/>
    <s v="Roberto"/>
    <s v="Hoffmann"/>
    <n v="42"/>
    <n v="1"/>
    <x v="1"/>
    <x v="1"/>
    <x v="1"/>
    <s v="no"/>
    <n v="20"/>
    <s v="T3"/>
    <n v="122000"/>
    <n v="61000"/>
    <x v="2"/>
    <n v="61000"/>
    <x v="0"/>
    <x v="2"/>
  </r>
  <r>
    <n v="22001"/>
    <s v="Kate"/>
    <s v="Hopkins"/>
    <n v="29"/>
    <n v="2"/>
    <x v="0"/>
    <x v="4"/>
    <x v="1"/>
    <s v="no"/>
    <n v="20"/>
    <s v="T3"/>
    <n v="98000"/>
    <n v="49000"/>
    <x v="2"/>
    <n v="49000"/>
    <x v="0"/>
    <x v="4"/>
  </r>
  <r>
    <n v="9537"/>
    <s v="Russell"/>
    <s v="Sullivan"/>
    <n v="31"/>
    <n v="0"/>
    <x v="1"/>
    <x v="4"/>
    <x v="3"/>
    <s v="no"/>
    <n v="20"/>
    <s v="T3"/>
    <n v="109368"/>
    <n v="54684"/>
    <x v="2"/>
    <n v="54684"/>
    <x v="0"/>
    <x v="0"/>
  </r>
  <r>
    <n v="20869"/>
    <s v="Juan"/>
    <s v="Jackson"/>
    <n v="39"/>
    <n v="4"/>
    <x v="1"/>
    <x v="1"/>
    <x v="2"/>
    <s v="yes"/>
    <n v="20"/>
    <s v="T1"/>
    <n v="73440"/>
    <n v="36720"/>
    <x v="0"/>
    <n v="36720"/>
    <x v="0"/>
    <x v="3"/>
  </r>
  <r>
    <n v="18321"/>
    <s v="José Carlos"/>
    <s v="Marroquín"/>
    <n v="35"/>
    <n v="12"/>
    <x v="0"/>
    <x v="1"/>
    <x v="1"/>
    <s v="no"/>
    <n v="20"/>
    <s v="T4"/>
    <n v="115000"/>
    <n v="57500"/>
    <x v="0"/>
    <n v="57500"/>
    <x v="0"/>
    <x v="0"/>
  </r>
  <r>
    <n v="16530"/>
    <s v="Veronica"/>
    <s v="Casey"/>
    <n v="59"/>
    <n v="14"/>
    <x v="0"/>
    <x v="2"/>
    <x v="3"/>
    <s v="no"/>
    <n v="20"/>
    <s v="T2"/>
    <n v="85000"/>
    <n v="42500"/>
    <x v="0"/>
    <n v="42500"/>
    <x v="0"/>
    <x v="1"/>
  </r>
  <r>
    <n v="15919"/>
    <s v="David"/>
    <s v="Richardson"/>
    <n v="29"/>
    <n v="1"/>
    <x v="1"/>
    <x v="0"/>
    <x v="1"/>
    <s v="no"/>
    <n v="20"/>
    <s v="T4"/>
    <n v="124819"/>
    <n v="62409.5"/>
    <x v="2"/>
    <n v="62409.5"/>
    <x v="0"/>
    <x v="4"/>
  </r>
  <r>
    <n v="14959"/>
    <s v="Michael"/>
    <s v="Smith"/>
    <n v="49"/>
    <n v="25"/>
    <x v="1"/>
    <x v="1"/>
    <x v="1"/>
    <s v="no"/>
    <n v="40"/>
    <s v="T3"/>
    <n v="119878"/>
    <n v="149847.5"/>
    <x v="1"/>
    <n v="-29969.5"/>
    <x v="2"/>
    <x v="6"/>
  </r>
  <r>
    <n v="20101"/>
    <s v="Israel"/>
    <s v="Mejía"/>
    <n v="43"/>
    <n v="4"/>
    <x v="1"/>
    <x v="2"/>
    <x v="0"/>
    <s v="yes"/>
    <n v="20"/>
    <s v="T3"/>
    <n v="105840"/>
    <n v="52920"/>
    <x v="2"/>
    <n v="52920"/>
    <x v="0"/>
    <x v="2"/>
  </r>
  <r>
    <n v="9481"/>
    <s v="Leonor"/>
    <s v="Orta"/>
    <n v="26"/>
    <n v="8"/>
    <x v="1"/>
    <x v="2"/>
    <x v="1"/>
    <s v="no"/>
    <n v="32"/>
    <s v="T5"/>
    <n v="141993"/>
    <n v="113594.4"/>
    <x v="2"/>
    <n v="28398.600000000006"/>
    <x v="0"/>
    <x v="4"/>
  </r>
  <r>
    <n v="11248"/>
    <s v="Eva"/>
    <s v="Corrales"/>
    <n v="25"/>
    <n v="3"/>
    <x v="0"/>
    <x v="4"/>
    <x v="1"/>
    <s v="no"/>
    <n v="40"/>
    <s v="T3"/>
    <n v="98000"/>
    <n v="98000"/>
    <x v="2"/>
    <n v="0"/>
    <x v="1"/>
    <x v="4"/>
  </r>
  <r>
    <n v="8731"/>
    <s v="Jeff"/>
    <s v="Jones"/>
    <n v="53"/>
    <n v="24"/>
    <x v="1"/>
    <x v="1"/>
    <x v="3"/>
    <s v="yes"/>
    <n v="20"/>
    <s v="T1"/>
    <n v="73440"/>
    <n v="36720"/>
    <x v="2"/>
    <n v="36720"/>
    <x v="0"/>
    <x v="1"/>
  </r>
  <r>
    <n v="3526"/>
    <s v="Brandon"/>
    <s v="Holland"/>
    <n v="43"/>
    <n v="9"/>
    <x v="1"/>
    <x v="0"/>
    <x v="4"/>
    <s v="no"/>
    <n v="40"/>
    <s v="T4"/>
    <n v="132555"/>
    <n v="132555"/>
    <x v="1"/>
    <n v="0"/>
    <x v="1"/>
    <x v="2"/>
  </r>
  <r>
    <n v="9826"/>
    <s v="Scott"/>
    <s v="White"/>
    <n v="55"/>
    <n v="25"/>
    <x v="1"/>
    <x v="0"/>
    <x v="1"/>
    <s v="no"/>
    <n v="40"/>
    <s v="T3"/>
    <n v="109593"/>
    <n v="136991.25"/>
    <x v="2"/>
    <n v="-27398.25"/>
    <x v="2"/>
    <x v="1"/>
  </r>
  <r>
    <n v="15458"/>
    <s v="Rodrigo"/>
    <s v="Escalante"/>
    <n v="43"/>
    <n v="4"/>
    <x v="0"/>
    <x v="2"/>
    <x v="1"/>
    <s v="no"/>
    <n v="40"/>
    <s v="T3"/>
    <n v="100388"/>
    <n v="100388"/>
    <x v="1"/>
    <n v="0"/>
    <x v="1"/>
    <x v="2"/>
  </r>
  <r>
    <n v="16611"/>
    <s v="Celia"/>
    <s v="Rico"/>
    <n v="35"/>
    <n v="16"/>
    <x v="1"/>
    <x v="1"/>
    <x v="0"/>
    <s v="no"/>
    <n v="20"/>
    <s v="T3"/>
    <n v="113606"/>
    <n v="56803"/>
    <x v="1"/>
    <n v="56803"/>
    <x v="0"/>
    <x v="0"/>
  </r>
  <r>
    <n v="8677"/>
    <s v="Krystal"/>
    <s v="Wilson"/>
    <n v="39"/>
    <n v="8"/>
    <x v="0"/>
    <x v="3"/>
    <x v="2"/>
    <s v="no"/>
    <n v="40"/>
    <s v="T2"/>
    <n v="87902"/>
    <n v="87902"/>
    <x v="2"/>
    <n v="0"/>
    <x v="1"/>
    <x v="3"/>
  </r>
  <r>
    <n v="15914"/>
    <s v="Debra"/>
    <s v="Lloyd"/>
    <n v="55"/>
    <n v="13"/>
    <x v="0"/>
    <x v="1"/>
    <x v="2"/>
    <s v="no"/>
    <n v="20"/>
    <s v="T1"/>
    <n v="68000"/>
    <n v="34000"/>
    <x v="0"/>
    <n v="34000"/>
    <x v="0"/>
    <x v="1"/>
  </r>
  <r>
    <n v="19359"/>
    <s v="Humberto"/>
    <s v="Serrano"/>
    <n v="44"/>
    <n v="8"/>
    <x v="1"/>
    <x v="2"/>
    <x v="2"/>
    <s v="no"/>
    <n v="40"/>
    <s v="T3"/>
    <n v="122000"/>
    <n v="122000"/>
    <x v="1"/>
    <n v="0"/>
    <x v="1"/>
    <x v="2"/>
  </r>
  <r>
    <n v="20686"/>
    <s v="Rolando"/>
    <s v="Benítez"/>
    <n v="43"/>
    <n v="21"/>
    <x v="1"/>
    <x v="2"/>
    <x v="1"/>
    <s v="no"/>
    <n v="20"/>
    <s v="T4"/>
    <n v="124200"/>
    <n v="62100"/>
    <x v="2"/>
    <n v="62100"/>
    <x v="0"/>
    <x v="2"/>
  </r>
  <r>
    <n v="22582"/>
    <s v="Meghan"/>
    <s v="Grant"/>
    <n v="26"/>
    <n v="4"/>
    <x v="0"/>
    <x v="0"/>
    <x v="1"/>
    <s v="no"/>
    <n v="40"/>
    <s v="T3"/>
    <n v="98000"/>
    <n v="98000"/>
    <x v="0"/>
    <n v="0"/>
    <x v="1"/>
    <x v="4"/>
  </r>
  <r>
    <n v="10599"/>
    <s v="John"/>
    <s v="Walsh"/>
    <n v="46"/>
    <n v="10"/>
    <x v="1"/>
    <x v="1"/>
    <x v="1"/>
    <s v="no"/>
    <n v="20"/>
    <s v="T3"/>
    <n v="122000"/>
    <n v="61000"/>
    <x v="1"/>
    <n v="61000"/>
    <x v="0"/>
    <x v="6"/>
  </r>
  <r>
    <n v="11710"/>
    <s v="Christopher"/>
    <s v="Rios"/>
    <n v="45"/>
    <n v="8"/>
    <x v="1"/>
    <x v="1"/>
    <x v="1"/>
    <s v="no"/>
    <n v="40"/>
    <s v="T2"/>
    <n v="103621"/>
    <n v="103621"/>
    <x v="1"/>
    <n v="0"/>
    <x v="1"/>
    <x v="2"/>
  </r>
  <r>
    <n v="1627"/>
    <s v="Alan"/>
    <s v="Johnson"/>
    <n v="59"/>
    <n v="12"/>
    <x v="1"/>
    <x v="4"/>
    <x v="1"/>
    <s v="no"/>
    <n v="40"/>
    <s v="T2"/>
    <n v="95082"/>
    <n v="95082"/>
    <x v="2"/>
    <n v="0"/>
    <x v="1"/>
    <x v="1"/>
  </r>
  <r>
    <n v="13743"/>
    <s v="Jill"/>
    <s v="Patterson"/>
    <n v="28"/>
    <n v="8"/>
    <x v="0"/>
    <x v="4"/>
    <x v="0"/>
    <s v="no"/>
    <n v="20"/>
    <s v="T3"/>
    <n v="100990"/>
    <n v="50495"/>
    <x v="1"/>
    <n v="50495"/>
    <x v="0"/>
    <x v="4"/>
  </r>
  <r>
    <n v="16884"/>
    <s v="Carol"/>
    <s v="Gardner"/>
    <n v="25"/>
    <n v="2"/>
    <x v="0"/>
    <x v="1"/>
    <x v="2"/>
    <s v="no"/>
    <n v="20"/>
    <s v="T1"/>
    <n v="68874"/>
    <n v="34437"/>
    <x v="0"/>
    <n v="34437"/>
    <x v="0"/>
    <x v="4"/>
  </r>
  <r>
    <n v="11337"/>
    <s v="Justin"/>
    <s v="Moore"/>
    <n v="39"/>
    <n v="8"/>
    <x v="1"/>
    <x v="3"/>
    <x v="2"/>
    <s v="no"/>
    <n v="40"/>
    <s v="T2"/>
    <n v="102577"/>
    <n v="102577"/>
    <x v="1"/>
    <n v="0"/>
    <x v="1"/>
    <x v="3"/>
  </r>
  <r>
    <n v="6645"/>
    <s v="Scott"/>
    <s v="Sanchez"/>
    <n v="49"/>
    <n v="2"/>
    <x v="1"/>
    <x v="0"/>
    <x v="3"/>
    <s v="no"/>
    <n v="40"/>
    <s v="T3"/>
    <n v="112788"/>
    <n v="112788"/>
    <x v="1"/>
    <n v="0"/>
    <x v="1"/>
    <x v="6"/>
  </r>
  <r>
    <n v="16663"/>
    <s v="Dolores"/>
    <s v="Olivera"/>
    <n v="27"/>
    <n v="7"/>
    <x v="1"/>
    <x v="1"/>
    <x v="2"/>
    <s v="no"/>
    <n v="20"/>
    <s v="T3"/>
    <n v="107404"/>
    <n v="53702"/>
    <x v="2"/>
    <n v="53702"/>
    <x v="0"/>
    <x v="4"/>
  </r>
  <r>
    <n v="7637"/>
    <s v="Patrick"/>
    <s v="Robinson"/>
    <n v="38"/>
    <n v="6"/>
    <x v="1"/>
    <x v="3"/>
    <x v="3"/>
    <s v="no"/>
    <n v="32"/>
    <s v="T2"/>
    <n v="91800"/>
    <n v="73440"/>
    <x v="0"/>
    <n v="18360"/>
    <x v="0"/>
    <x v="3"/>
  </r>
  <r>
    <n v="12313"/>
    <s v="Victor"/>
    <s v="Rangel"/>
    <n v="42"/>
    <n v="12"/>
    <x v="1"/>
    <x v="4"/>
    <x v="3"/>
    <s v="yes"/>
    <n v="16"/>
    <s v="T1"/>
    <n v="73440"/>
    <n v="29376"/>
    <x v="0"/>
    <n v="44064"/>
    <x v="0"/>
    <x v="2"/>
  </r>
  <r>
    <n v="9152"/>
    <s v="Jillian"/>
    <s v="Walker"/>
    <n v="27"/>
    <n v="2"/>
    <x v="0"/>
    <x v="0"/>
    <x v="2"/>
    <s v="no"/>
    <n v="40"/>
    <s v="T2"/>
    <n v="85000"/>
    <n v="85000"/>
    <x v="2"/>
    <n v="0"/>
    <x v="1"/>
    <x v="4"/>
  </r>
  <r>
    <n v="11839"/>
    <s v="Sarah"/>
    <s v="Bishop"/>
    <n v="51"/>
    <n v="32"/>
    <x v="0"/>
    <x v="4"/>
    <x v="4"/>
    <s v="no"/>
    <n v="20"/>
    <s v="T4"/>
    <n v="115000"/>
    <n v="57500"/>
    <x v="0"/>
    <n v="57500"/>
    <x v="0"/>
    <x v="1"/>
  </r>
  <r>
    <n v="9850"/>
    <s v="Ian"/>
    <s v="Garrett"/>
    <n v="43"/>
    <n v="17"/>
    <x v="1"/>
    <x v="0"/>
    <x v="2"/>
    <s v="no"/>
    <n v="40"/>
    <s v="T1"/>
    <n v="77967"/>
    <n v="77967"/>
    <x v="0"/>
    <n v="0"/>
    <x v="1"/>
    <x v="2"/>
  </r>
  <r>
    <n v="20221"/>
    <s v="Samuel"/>
    <s v="Lewis"/>
    <n v="36"/>
    <n v="18"/>
    <x v="1"/>
    <x v="3"/>
    <x v="0"/>
    <s v="no"/>
    <n v="20"/>
    <s v="T3"/>
    <n v="111576"/>
    <n v="55788"/>
    <x v="2"/>
    <n v="55788"/>
    <x v="0"/>
    <x v="3"/>
  </r>
  <r>
    <n v="9739"/>
    <s v="Michael"/>
    <s v="Chan"/>
    <n v="35"/>
    <n v="11"/>
    <x v="1"/>
    <x v="2"/>
    <x v="3"/>
    <s v="no"/>
    <n v="8"/>
    <s v="T1"/>
    <n v="73440"/>
    <n v="14688"/>
    <x v="1"/>
    <n v="58752"/>
    <x v="0"/>
    <x v="0"/>
  </r>
  <r>
    <n v="20221"/>
    <s v="Samuel"/>
    <s v="Lewis"/>
    <n v="36"/>
    <n v="18"/>
    <x v="1"/>
    <x v="3"/>
    <x v="1"/>
    <s v="no"/>
    <n v="20"/>
    <s v="T3"/>
    <n v="111576"/>
    <n v="55788"/>
    <x v="2"/>
    <n v="55788"/>
    <x v="0"/>
    <x v="3"/>
  </r>
  <r>
    <n v="18899"/>
    <s v="Nicole"/>
    <s v="Roberts"/>
    <n v="43"/>
    <n v="13"/>
    <x v="0"/>
    <x v="0"/>
    <x v="2"/>
    <s v="yes"/>
    <n v="40"/>
    <s v="T1"/>
    <n v="68000"/>
    <n v="68000"/>
    <x v="0"/>
    <n v="0"/>
    <x v="1"/>
    <x v="2"/>
  </r>
  <r>
    <n v="1019"/>
    <s v="Paul"/>
    <s v="Liu"/>
    <n v="28"/>
    <n v="1"/>
    <x v="1"/>
    <x v="0"/>
    <x v="2"/>
    <s v="no"/>
    <n v="40"/>
    <s v="T1"/>
    <n v="81341"/>
    <n v="81341"/>
    <x v="1"/>
    <n v="0"/>
    <x v="1"/>
    <x v="4"/>
  </r>
  <r>
    <n v="17615"/>
    <s v="Esperanza"/>
    <s v="Garrido"/>
    <n v="37"/>
    <n v="14"/>
    <x v="1"/>
    <x v="1"/>
    <x v="1"/>
    <s v="no"/>
    <n v="40"/>
    <s v="T3"/>
    <n v="112109"/>
    <n v="112109"/>
    <x v="2"/>
    <n v="0"/>
    <x v="1"/>
    <x v="3"/>
  </r>
  <r>
    <n v="6947"/>
    <s v="Daniel"/>
    <s v="Mcdaniel"/>
    <n v="52"/>
    <n v="29"/>
    <x v="1"/>
    <x v="3"/>
    <x v="3"/>
    <s v="no"/>
    <n v="40"/>
    <s v="T3"/>
    <n v="107773"/>
    <n v="107773"/>
    <x v="2"/>
    <n v="0"/>
    <x v="1"/>
    <x v="1"/>
  </r>
  <r>
    <n v="3492"/>
    <s v="Chelsey"/>
    <s v="Alvarez"/>
    <n v="37"/>
    <n v="9"/>
    <x v="0"/>
    <x v="2"/>
    <x v="2"/>
    <s v="no"/>
    <n v="20"/>
    <s v="T3"/>
    <n v="98000"/>
    <n v="49000"/>
    <x v="0"/>
    <n v="49000"/>
    <x v="0"/>
    <x v="3"/>
  </r>
  <r>
    <n v="8595"/>
    <s v="Robert"/>
    <s v="Barton"/>
    <n v="44"/>
    <n v="1"/>
    <x v="1"/>
    <x v="2"/>
    <x v="6"/>
    <s v="yes"/>
    <n v="16"/>
    <s v="T4"/>
    <n v="124200"/>
    <n v="49680"/>
    <x v="2"/>
    <n v="74520"/>
    <x v="0"/>
    <x v="2"/>
  </r>
  <r>
    <n v="16696"/>
    <s v="Rebeca"/>
    <s v="Santiago"/>
    <n v="35"/>
    <n v="12"/>
    <x v="0"/>
    <x v="1"/>
    <x v="1"/>
    <s v="no"/>
    <n v="16"/>
    <s v="T2"/>
    <n v="85000"/>
    <n v="34000"/>
    <x v="0"/>
    <n v="51000"/>
    <x v="0"/>
    <x v="0"/>
  </r>
  <r>
    <n v="18879"/>
    <s v="Eduardo"/>
    <s v="Gonzalez"/>
    <n v="60"/>
    <n v="10"/>
    <x v="1"/>
    <x v="2"/>
    <x v="3"/>
    <s v="yes"/>
    <n v="32"/>
    <s v="T2"/>
    <n v="96499"/>
    <n v="77199.199999999997"/>
    <x v="0"/>
    <n v="19299.800000000003"/>
    <x v="0"/>
    <x v="1"/>
  </r>
  <r>
    <n v="8561"/>
    <s v="Crystal"/>
    <s v="Wood"/>
    <n v="23"/>
    <n v="3"/>
    <x v="0"/>
    <x v="3"/>
    <x v="1"/>
    <s v="no"/>
    <n v="32"/>
    <s v="T3"/>
    <n v="98000"/>
    <n v="78400"/>
    <x v="0"/>
    <n v="19600"/>
    <x v="0"/>
    <x v="5"/>
  </r>
  <r>
    <n v="16287"/>
    <s v="Lisa"/>
    <s v="Hernandez"/>
    <n v="35"/>
    <n v="13"/>
    <x v="0"/>
    <x v="2"/>
    <x v="1"/>
    <s v="no"/>
    <n v="20"/>
    <s v="T5"/>
    <n v="130000"/>
    <n v="65000"/>
    <x v="0"/>
    <n v="65000"/>
    <x v="0"/>
    <x v="0"/>
  </r>
  <r>
    <n v="21851"/>
    <s v="Raúl"/>
    <s v="Valle"/>
    <n v="40"/>
    <n v="21"/>
    <x v="0"/>
    <x v="2"/>
    <x v="3"/>
    <s v="no"/>
    <n v="32"/>
    <s v="T1"/>
    <n v="68000"/>
    <n v="54400"/>
    <x v="0"/>
    <n v="13600"/>
    <x v="0"/>
    <x v="3"/>
  </r>
  <r>
    <n v="16770"/>
    <s v="Robert"/>
    <s v="Bean"/>
    <n v="63"/>
    <n v="15"/>
    <x v="1"/>
    <x v="4"/>
    <x v="1"/>
    <s v="no"/>
    <n v="20"/>
    <s v="T3"/>
    <n v="105840"/>
    <n v="52920"/>
    <x v="0"/>
    <n v="52920"/>
    <x v="0"/>
    <x v="1"/>
  </r>
  <r>
    <n v="15372"/>
    <s v="Abelardo"/>
    <s v="Botello"/>
    <n v="60"/>
    <n v="35"/>
    <x v="1"/>
    <x v="4"/>
    <x v="2"/>
    <s v="no"/>
    <n v="40"/>
    <s v="T3"/>
    <n v="122000"/>
    <n v="122000"/>
    <x v="1"/>
    <n v="0"/>
    <x v="1"/>
    <x v="1"/>
  </r>
  <r>
    <n v="1252"/>
    <s v="Stephen"/>
    <s v="Dixon"/>
    <n v="33"/>
    <n v="4"/>
    <x v="1"/>
    <x v="4"/>
    <x v="1"/>
    <s v="no"/>
    <n v="40"/>
    <s v="T2"/>
    <n v="106149"/>
    <n v="106149"/>
    <x v="1"/>
    <n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5D9D39-A22F-41D9-A7D6-97763CCF13D7}" name="PivotTable11"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F48:G59"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1"/>
    </i>
    <i>
      <x/>
    </i>
    <i>
      <x v="3"/>
    </i>
    <i>
      <x v="9"/>
    </i>
    <i>
      <x v="7"/>
    </i>
    <i>
      <x v="8"/>
    </i>
    <i>
      <x v="2"/>
    </i>
    <i>
      <x v="4"/>
    </i>
    <i>
      <x v="6"/>
    </i>
    <i t="grand">
      <x/>
    </i>
  </rowItems>
  <colItems count="1">
    <i/>
  </colItems>
  <dataFields count="1">
    <dataField fld="1" subtotal="count" baseField="0" baseItem="0"/>
  </dataFields>
  <formats count="2">
    <format dxfId="1">
      <pivotArea outline="0" collapsedLevelsAreSubtotals="1" fieldPosition="0"/>
    </format>
    <format dxfId="0">
      <pivotArea collapsedLevelsAreSubtotals="1" fieldPosition="0">
        <references count="1">
          <reference field="0" count="0"/>
        </references>
      </pivotArea>
    </format>
  </formats>
  <chartFormats count="2">
    <chartFormat chart="4"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Hours"/>
    <pivotHierarchy dragToData="1" caption="Average of Hours"/>
    <pivotHierarchy dragToData="1"/>
    <pivotHierarchy dragToData="1" caption="Count of 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09668F-BD88-4013-862A-88635508E61F}"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Department">
  <location ref="D9:E15" firstHeaderRow="1" firstDataRow="1" firstDataCol="1"/>
  <pivotFields count="18">
    <pivotField dataField="1" showAll="0"/>
    <pivotField showAll="0"/>
    <pivotField showAll="0"/>
    <pivotField showAll="0"/>
    <pivotField showAll="0"/>
    <pivotField showAll="0"/>
    <pivotField axis="axisRow" showAll="0" sortType="de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items count="8">
        <item x="2"/>
        <item x="4"/>
        <item x="6"/>
        <item x="5"/>
        <item x="0"/>
        <item x="3"/>
        <item x="1"/>
        <item t="default"/>
      </items>
    </pivotField>
    <pivotField showAll="0"/>
    <pivotField showAll="0"/>
    <pivotField showAll="0"/>
    <pivotField showAll="0"/>
    <pivotField showAll="0"/>
    <pivotField showAll="0"/>
    <pivotField showAll="0"/>
    <pivotField showAll="0"/>
    <pivotField showAll="0">
      <items count="9">
        <item x="5"/>
        <item x="4"/>
        <item x="0"/>
        <item x="3"/>
        <item x="2"/>
        <item x="6"/>
        <item x="7"/>
        <item x="1"/>
        <item t="default"/>
      </items>
    </pivotField>
    <pivotField dragToRow="0" dragToCol="0" dragToPage="0" showAll="0" defaultSubtotal="0"/>
  </pivotFields>
  <rowFields count="1">
    <field x="6"/>
  </rowFields>
  <rowItems count="6">
    <i>
      <x v="4"/>
    </i>
    <i>
      <x/>
    </i>
    <i>
      <x v="2"/>
    </i>
    <i>
      <x v="3"/>
    </i>
    <i>
      <x v="1"/>
    </i>
    <i t="grand">
      <x/>
    </i>
  </rowItems>
  <colItems count="1">
    <i/>
  </colItems>
  <dataFields count="1">
    <dataField name="Count of ID" fld="0" subtotal="count" baseField="6" baseItem="0"/>
  </dataFields>
  <formats count="2">
    <format dxfId="3">
      <pivotArea outline="0" collapsedLevelsAreSubtotals="1" fieldPosition="0"/>
    </format>
    <format dxfId="2">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C27AC6-8C87-462C-9089-D8860FBA34C3}" name="PivotTable10"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B48:C56"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i>
    <i>
      <x v="5"/>
    </i>
    <i>
      <x v="4"/>
    </i>
    <i>
      <x v="1"/>
    </i>
    <i>
      <x v="2"/>
    </i>
    <i>
      <x v="3"/>
    </i>
    <i t="grand">
      <x/>
    </i>
  </rowItems>
  <colItems count="1">
    <i/>
  </colItems>
  <dataFields count="1">
    <dataField name="Count of ID" fld="1"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Hours"/>
    <pivotHierarchy dragToData="1" caption="Average of Hours"/>
    <pivotHierarchy dragToData="1"/>
    <pivotHierarchy dragToData="1" caption="Count of 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25CFC6-0B25-4A4D-B428-0D8EF5C709FC}" name="PivotTable15" cacheId="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9">
  <location ref="E104:F108"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4">
    <i>
      <x/>
    </i>
    <i>
      <x v="2"/>
    </i>
    <i>
      <x v="1"/>
    </i>
    <i t="grand">
      <x/>
    </i>
  </rowItems>
  <colItems count="1">
    <i/>
  </colItems>
  <dataFields count="1">
    <dataField fld="2" subtotal="count" baseField="0" baseItem="0"/>
  </dataFields>
  <formats count="1">
    <format dxfId="4">
      <pivotArea outline="0" collapsedLevelsAreSubtotals="1" fieldPosition="0"/>
    </format>
  </formats>
  <chartFormats count="8">
    <chartFormat chart="18" format="9"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1" count="1" selected="0">
            <x v="0"/>
          </reference>
        </references>
      </pivotArea>
    </chartFormat>
    <chartFormat chart="18" format="11">
      <pivotArea type="data" outline="0" fieldPosition="0">
        <references count="2">
          <reference field="4294967294" count="1" selected="0">
            <x v="0"/>
          </reference>
          <reference field="1" count="1" selected="0">
            <x v="2"/>
          </reference>
        </references>
      </pivotArea>
    </chartFormat>
    <chartFormat chart="18" format="12">
      <pivotArea type="data" outline="0" fieldPosition="0">
        <references count="2">
          <reference field="4294967294" count="1" selected="0">
            <x v="0"/>
          </reference>
          <reference field="1" count="1" selected="0">
            <x v="1"/>
          </reference>
        </references>
      </pivotArea>
    </chartFormat>
    <chartFormat chart="16" format="2">
      <pivotArea type="data" outline="0" fieldPosition="0">
        <references count="2">
          <reference field="4294967294" count="1" selected="0">
            <x v="0"/>
          </reference>
          <reference field="1" count="1" selected="0">
            <x v="0"/>
          </reference>
        </references>
      </pivotArea>
    </chartFormat>
    <chartFormat chart="16" format="3">
      <pivotArea type="data" outline="0" fieldPosition="0">
        <references count="2">
          <reference field="4294967294" count="1" selected="0">
            <x v="0"/>
          </reference>
          <reference field="1" count="1" selected="0">
            <x v="2"/>
          </reference>
        </references>
      </pivotArea>
    </chartFormat>
    <chartFormat chart="16" format="4">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Hours"/>
    <pivotHierarchy dragToData="1" caption="Average of Hours"/>
    <pivotHierarchy dragToData="1"/>
    <pivotHierarchy dragToData="1" caption="Count of 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F6FE81-FBD4-421F-BAAE-7BF88CE531A1}" name="PivotTable14"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6">
  <location ref="L82:M85"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fld="2" subtotal="count" baseField="0" baseItem="0"/>
  </dataFields>
  <formats count="1">
    <format dxfId="5">
      <pivotArea outline="0" collapsedLevelsAreSubtotals="1" fieldPosition="0"/>
    </format>
  </formats>
  <chartFormats count="6">
    <chartFormat chart="13"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Hours"/>
    <pivotHierarchy dragToData="1" caption="Average of Hours"/>
    <pivotHierarchy dragToData="1"/>
    <pivotHierarchy dragToData="1" caption="Count of 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A0C263-F13A-488E-AACA-FE014D189DA4}"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Department">
  <location ref="A9:B17" firstHeaderRow="1" firstDataRow="1" firstDataCol="1"/>
  <pivotFields count="18">
    <pivotField showAll="0"/>
    <pivotField showAll="0"/>
    <pivotField showAll="0"/>
    <pivotField showAll="0"/>
    <pivotField showAll="0"/>
    <pivotField showAll="0"/>
    <pivotField showAll="0"/>
    <pivotField axis="axisRow" showAll="0" sortType="descending">
      <items count="8">
        <item x="2"/>
        <item x="4"/>
        <item x="6"/>
        <item x="5"/>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9">
        <item x="5"/>
        <item x="4"/>
        <item x="0"/>
        <item x="3"/>
        <item x="2"/>
        <item x="6"/>
        <item x="7"/>
        <item x="1"/>
        <item t="default"/>
      </items>
    </pivotField>
    <pivotField dataField="1" dragToRow="0" dragToCol="0" dragToPage="0" showAll="0" defaultSubtotal="0"/>
  </pivotFields>
  <rowFields count="1">
    <field x="7"/>
  </rowFields>
  <rowItems count="8">
    <i>
      <x v="6"/>
    </i>
    <i>
      <x/>
    </i>
    <i>
      <x v="5"/>
    </i>
    <i>
      <x v="4"/>
    </i>
    <i>
      <x v="1"/>
    </i>
    <i>
      <x v="2"/>
    </i>
    <i>
      <x v="3"/>
    </i>
    <i t="grand">
      <x/>
    </i>
  </rowItems>
  <colItems count="1">
    <i/>
  </colItems>
  <dataFields count="1">
    <dataField name="Sum of Total Salary (M) " fld="17" baseField="0" baseItem="0" numFmtId="166"/>
  </dataFields>
  <formats count="4">
    <format dxfId="9">
      <pivotArea outline="0" collapsedLevelsAreSubtotals="1" fieldPosition="0"/>
    </format>
    <format dxfId="8">
      <pivotArea outline="0" collapsedLevelsAreSubtotals="1" fieldPosition="0"/>
    </format>
    <format dxfId="7">
      <pivotArea dataOnly="0" labelOnly="1" fieldPosition="0">
        <references count="1">
          <reference field="7" count="0"/>
        </references>
      </pivotArea>
    </format>
    <format dxfId="6">
      <pivotArea collapsedLevelsAreSubtotals="1" fieldPosition="0">
        <references count="2">
          <reference field="4294967294" count="1" selected="0">
            <x v="0"/>
          </reference>
          <reference field="7" count="0"/>
        </references>
      </pivotArea>
    </format>
  </formats>
  <chartFormats count="2">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EA5D96-4DBD-4A37-B7F5-112F0049D9E1}" name="PivotTable9" cacheId="1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41:E4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name="Average of Hours" fld="1" subtotal="average" baseField="0" baseItem="1" numFmtId="1"/>
    <dataField fld="2" subtotal="count" baseField="0" baseItem="0"/>
    <dataField fld="3" subtotal="count" baseField="0" baseItem="0" numFmtId="2"/>
  </dataFields>
  <formats count="2">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3"/>
          </reference>
        </references>
      </pivotArea>
    </format>
  </formats>
  <pivotHierarchies count="3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Hours"/>
    <pivotHierarchy dragToData="1" caption="Average of Hour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3B3354-9699-4741-AAB0-3AC4B3219C30}" name="PivotTable13" cacheId="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3">
  <location ref="A83:D93" firstHeaderRow="1" firstDataRow="2" firstDataCol="1"/>
  <pivotFields count="5">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Fields count="1">
    <field x="3"/>
  </colFields>
  <colItems count="3">
    <i>
      <x/>
    </i>
    <i>
      <x v="1"/>
    </i>
    <i t="grand">
      <x/>
    </i>
  </colItems>
  <dataFields count="1">
    <dataField name="Count of ID" fld="1" subtotal="count" showDataAs="percentOfRow" baseField="0" baseItem="0" numFmtId="10"/>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6">
    <chartFormat chart="3"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12" format="4" series="1">
      <pivotArea type="data" outline="0" fieldPosition="0">
        <references count="2">
          <reference field="4294967294" count="1" selected="0">
            <x v="0"/>
          </reference>
          <reference field="3" count="1" selected="0">
            <x v="0"/>
          </reference>
        </references>
      </pivotArea>
    </chartFormat>
    <chartFormat chart="12" format="5" series="1">
      <pivotArea type="data" outline="0" fieldPosition="0">
        <references count="2">
          <reference field="4294967294" count="1" selected="0">
            <x v="0"/>
          </reference>
          <reference field="3" count="1" selected="0">
            <x v="1"/>
          </reference>
        </references>
      </pivotArea>
    </chartFormat>
  </chartFormats>
  <pivotHierarchies count="3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Hours"/>
    <pivotHierarchy dragToData="1" caption="Average of Hours"/>
    <pivotHierarchy dragToData="1"/>
    <pivotHierarchy dragToData="1" caption="Count of 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660C07-6E97-4DCD-BE81-6719AA317006}"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8">
    <pivotField dataField="1" showAll="0"/>
    <pivotField showAll="0"/>
    <pivotField showAll="0"/>
    <pivotField dataField="1" showAll="0"/>
    <pivotField dataField="1" showAll="0"/>
    <pivotField showAll="0"/>
    <pivotField showAll="0"/>
    <pivotField showAll="0">
      <items count="8">
        <item x="2"/>
        <item x="4"/>
        <item x="6"/>
        <item x="5"/>
        <item x="0"/>
        <item x="3"/>
        <item x="1"/>
        <item t="default"/>
      </items>
    </pivotField>
    <pivotField showAll="0"/>
    <pivotField showAll="0"/>
    <pivotField showAll="0"/>
    <pivotField showAll="0"/>
    <pivotField dataField="1" showAll="0"/>
    <pivotField showAll="0"/>
    <pivotField showAll="0"/>
    <pivotField showAll="0"/>
    <pivotField showAll="0">
      <items count="9">
        <item x="5"/>
        <item x="4"/>
        <item x="0"/>
        <item x="3"/>
        <item x="2"/>
        <item x="6"/>
        <item x="7"/>
        <item x="1"/>
        <item t="default"/>
      </items>
    </pivotField>
    <pivotField dragToRow="0" dragToCol="0" dragToPage="0" showAll="0" defaultSubtotal="0"/>
  </pivotFields>
  <rowItems count="1">
    <i/>
  </rowItems>
  <colFields count="1">
    <field x="-2"/>
  </colFields>
  <colItems count="4">
    <i>
      <x/>
    </i>
    <i i="1">
      <x v="1"/>
    </i>
    <i i="2">
      <x v="2"/>
    </i>
    <i i="3">
      <x v="3"/>
    </i>
  </colItems>
  <dataFields count="4">
    <dataField name="Count of ID" fld="0" subtotal="count" baseField="0" baseItem="67"/>
    <dataField name="Average of Tenure" fld="4" subtotal="average" baseField="0" baseItem="1" numFmtId="164"/>
    <dataField name="Sum of Salary" fld="12" baseField="0" baseItem="0" numFmtId="166"/>
    <dataField name="Average of Age" fld="3" subtotal="average" baseField="0" baseItem="2" numFmtId="164"/>
  </dataFields>
  <formats count="6">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2"/>
          </reference>
        </references>
      </pivotArea>
    </format>
    <format dxfId="17">
      <pivotArea outline="0" collapsedLevelsAreSubtotals="1" fieldPosition="0">
        <references count="1">
          <reference field="4294967294" count="1" selected="0">
            <x v="3"/>
          </reference>
        </references>
      </pivotArea>
    </format>
    <format dxfId="16">
      <pivotArea outline="0" collapsedLevelsAreSubtotals="1" fieldPosition="0"/>
    </format>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3" selected="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D9A4E7-8DBB-40FB-A003-8BE414F392AE}" name="PivotTable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rowHeaderCaption="Department">
  <location ref="AG16:AH19" firstHeaderRow="1" firstDataRow="1" firstDataCol="1"/>
  <pivotFields count="18">
    <pivotField dataField="1" showAll="0"/>
    <pivotField showAll="0"/>
    <pivotField showAll="0"/>
    <pivotField showAll="0"/>
    <pivotField showAll="0"/>
    <pivotField axis="axisRow"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pivotField showAll="0"/>
    <pivotField showAll="0"/>
    <pivotField showAll="0"/>
    <pivotField showAll="0"/>
    <pivotField showAll="0">
      <items count="4">
        <item x="2"/>
        <item x="0"/>
        <item x="1"/>
        <item t="default"/>
      </items>
    </pivotField>
    <pivotField showAll="0"/>
    <pivotField showAll="0">
      <items count="4">
        <item x="1"/>
        <item x="2"/>
        <item x="0"/>
        <item t="default"/>
      </items>
    </pivotField>
    <pivotField showAll="0">
      <items count="9">
        <item x="5"/>
        <item x="4"/>
        <item x="0"/>
        <item x="3"/>
        <item x="2"/>
        <item x="6"/>
        <item x="7"/>
        <item x="1"/>
        <item t="default"/>
      </items>
    </pivotField>
    <pivotField dragToRow="0" dragToCol="0" dragToPage="0" showAll="0" defaultSubtotal="0"/>
  </pivotFields>
  <rowFields count="1">
    <field x="5"/>
  </rowFields>
  <rowItems count="3">
    <i>
      <x/>
    </i>
    <i>
      <x v="1"/>
    </i>
    <i t="grand">
      <x/>
    </i>
  </rowItems>
  <colItems count="1">
    <i/>
  </colItems>
  <dataFields count="1">
    <dataField name="Count of ID" fld="0" subtotal="count" baseField="5" baseItem="0"/>
  </dataFields>
  <formats count="1">
    <format dxfId="20">
      <pivotArea outline="0" collapsedLevelsAreSubtotals="1" fieldPosition="0"/>
    </format>
  </formats>
  <chartFormats count="10">
    <chartFormat chart="12" format="6" series="1">
      <pivotArea type="data" outline="0" fieldPosition="0">
        <references count="1">
          <reference field="5" count="1" selected="0">
            <x v="0"/>
          </reference>
        </references>
      </pivotArea>
    </chartFormat>
    <chartFormat chart="12" format="7" series="1">
      <pivotArea type="data" outline="0" fieldPosition="0">
        <references count="1">
          <reference field="5" count="1" selected="0">
            <x v="1"/>
          </reference>
        </references>
      </pivotArea>
    </chartFormat>
    <chartFormat chart="10" format="2" series="1">
      <pivotArea type="data" outline="0" fieldPosition="0">
        <references count="1">
          <reference field="5" count="1" selected="0">
            <x v="0"/>
          </reference>
        </references>
      </pivotArea>
    </chartFormat>
    <chartFormat chart="10" format="3" series="1">
      <pivotArea type="data" outline="0" fieldPosition="0">
        <references count="1">
          <reference field="5" count="1" selected="0">
            <x v="1"/>
          </reference>
        </references>
      </pivotArea>
    </chartFormat>
    <chartFormat chart="13"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5" count="1" selected="0">
            <x v="0"/>
          </reference>
        </references>
      </pivotArea>
    </chartFormat>
    <chartFormat chart="15" format="6">
      <pivotArea type="data" outline="0" fieldPosition="0">
        <references count="2">
          <reference field="4294967294" count="1" selected="0">
            <x v="0"/>
          </reference>
          <reference field="5" count="1" selected="0">
            <x v="1"/>
          </reference>
        </references>
      </pivotArea>
    </chartFormat>
    <chartFormat chart="13" format="1">
      <pivotArea type="data" outline="0" fieldPosition="0">
        <references count="2">
          <reference field="4294967294" count="1" selected="0">
            <x v="0"/>
          </reference>
          <reference field="5" count="1" selected="0">
            <x v="0"/>
          </reference>
        </references>
      </pivotArea>
    </chartFormat>
    <chartFormat chart="13"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90F43B-18B0-480A-BE31-21BEFC82DC12}"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Department">
  <location ref="X13:AA18" firstHeaderRow="1" firstDataRow="2" firstDataCol="1"/>
  <pivotFields count="18">
    <pivotField dataField="1" showAll="0"/>
    <pivotField showAll="0"/>
    <pivotField showAll="0"/>
    <pivotField showAll="0"/>
    <pivotField showAll="0"/>
    <pivotField axis="axisCol"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pivotField showAll="0"/>
    <pivotField showAll="0"/>
    <pivotField showAll="0"/>
    <pivotField showAll="0"/>
    <pivotField showAll="0">
      <items count="4">
        <item x="2"/>
        <item x="0"/>
        <item x="1"/>
        <item t="default"/>
      </items>
    </pivotField>
    <pivotField showAll="0"/>
    <pivotField axis="axisRow" showAll="0">
      <items count="4">
        <item x="1"/>
        <item x="2"/>
        <item x="0"/>
        <item t="default"/>
      </items>
    </pivotField>
    <pivotField showAll="0">
      <items count="9">
        <item x="5"/>
        <item x="4"/>
        <item x="0"/>
        <item x="3"/>
        <item x="2"/>
        <item x="6"/>
        <item x="7"/>
        <item x="1"/>
        <item t="default"/>
      </items>
    </pivotField>
    <pivotField dragToRow="0" dragToCol="0" dragToPage="0" showAll="0" defaultSubtotal="0"/>
  </pivotFields>
  <rowFields count="1">
    <field x="15"/>
  </rowFields>
  <rowItems count="4">
    <i>
      <x/>
    </i>
    <i>
      <x v="1"/>
    </i>
    <i>
      <x v="2"/>
    </i>
    <i t="grand">
      <x/>
    </i>
  </rowItems>
  <colFields count="1">
    <field x="5"/>
  </colFields>
  <colItems count="3">
    <i>
      <x/>
    </i>
    <i>
      <x v="1"/>
    </i>
    <i t="grand">
      <x/>
    </i>
  </colItems>
  <dataFields count="1">
    <dataField name="Count of ID" fld="0" subtotal="count" showDataAs="percentOfRow" baseField="15" baseItem="0" numFmtId="10"/>
  </dataFields>
  <formats count="2">
    <format dxfId="22">
      <pivotArea outline="0" collapsedLevelsAreSubtotals="1" fieldPosition="0"/>
    </format>
    <format dxfId="21">
      <pivotArea outline="0" fieldPosition="0">
        <references count="1">
          <reference field="4294967294" count="1">
            <x v="0"/>
          </reference>
        </references>
      </pivotArea>
    </format>
  </formats>
  <chartFormats count="8">
    <chartFormat chart="12" format="6" series="1">
      <pivotArea type="data" outline="0" fieldPosition="0">
        <references count="1">
          <reference field="5" count="1" selected="0">
            <x v="0"/>
          </reference>
        </references>
      </pivotArea>
    </chartFormat>
    <chartFormat chart="12" format="7" series="1">
      <pivotArea type="data" outline="0" fieldPosition="0">
        <references count="1">
          <reference field="5" count="1" selected="0">
            <x v="1"/>
          </reference>
        </references>
      </pivotArea>
    </chartFormat>
    <chartFormat chart="10" format="2" series="1">
      <pivotArea type="data" outline="0" fieldPosition="0">
        <references count="1">
          <reference field="5" count="1" selected="0">
            <x v="0"/>
          </reference>
        </references>
      </pivotArea>
    </chartFormat>
    <chartFormat chart="10" format="3" series="1">
      <pivotArea type="data" outline="0" fieldPosition="0">
        <references count="1">
          <reference field="5" count="1" selected="0">
            <x v="1"/>
          </reference>
        </references>
      </pivotArea>
    </chartFormat>
    <chartFormat chart="12" format="8" series="1">
      <pivotArea type="data" outline="0" fieldPosition="0">
        <references count="2">
          <reference field="4294967294" count="1" selected="0">
            <x v="0"/>
          </reference>
          <reference field="5" count="1" selected="0">
            <x v="0"/>
          </reference>
        </references>
      </pivotArea>
    </chartFormat>
    <chartFormat chart="12" format="9" series="1">
      <pivotArea type="data" outline="0" fieldPosition="0">
        <references count="2">
          <reference field="4294967294" count="1" selected="0">
            <x v="0"/>
          </reference>
          <reference field="5" count="1" selected="0">
            <x v="1"/>
          </reference>
        </references>
      </pivotArea>
    </chartFormat>
    <chartFormat chart="10" format="4" series="1">
      <pivotArea type="data" outline="0" fieldPosition="0">
        <references count="2">
          <reference field="4294967294" count="1" selected="0">
            <x v="0"/>
          </reference>
          <reference field="5" count="1" selected="0">
            <x v="0"/>
          </reference>
        </references>
      </pivotArea>
    </chartFormat>
    <chartFormat chart="10"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06B1DF-4BA1-4B49-9BB4-1C728F7F33AB}" name="PivotTable12" cacheId="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J49:K53"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ID" fld="2" subtotal="count" baseField="1" baseItem="0"/>
  </dataFields>
  <formats count="1">
    <format dxfId="23">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 count="1" selected="0">
            <x v="0"/>
          </reference>
        </references>
      </pivotArea>
    </chartFormat>
    <chartFormat chart="7" format="7">
      <pivotArea type="data" outline="0" fieldPosition="0">
        <references count="2">
          <reference field="4294967294" count="1" selected="0">
            <x v="0"/>
          </reference>
          <reference field="1" count="1" selected="0">
            <x v="1"/>
          </reference>
        </references>
      </pivotArea>
    </chartFormat>
    <chartFormat chart="7" format="8">
      <pivotArea type="data" outline="0" fieldPosition="0">
        <references count="2">
          <reference field="4294967294" count="1" selected="0">
            <x v="0"/>
          </reference>
          <reference field="1" count="1" selected="0">
            <x v="2"/>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s>
  <pivotHierarchies count="3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Hours"/>
    <pivotHierarchy dragToData="1" caption="Average of Hours"/>
    <pivotHierarchy dragToData="1"/>
    <pivotHierarchy dragToData="1" caption="Count of 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8F6F00-1D2F-4A2E-8A44-CE9D6D7477C8}" name="PivotTable4"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Department">
  <location ref="I9:M18" firstHeaderRow="1" firstDataRow="2" firstDataCol="1"/>
  <pivotFields count="18">
    <pivotField dataField="1" showAll="0"/>
    <pivotField showAll="0"/>
    <pivotField showAll="0"/>
    <pivotField showAll="0"/>
    <pivotField showAll="0"/>
    <pivotField showAll="0"/>
    <pivotField showAll="0">
      <items count="6">
        <item x="3"/>
        <item x="0"/>
        <item x="2"/>
        <item x="4"/>
        <item x="1"/>
        <item t="default"/>
      </items>
    </pivotField>
    <pivotField axis="axisRow" showAll="0">
      <items count="8">
        <item x="2"/>
        <item x="4"/>
        <item x="6"/>
        <item x="5"/>
        <item x="0"/>
        <item x="3"/>
        <item x="1"/>
        <item t="default"/>
      </items>
    </pivotField>
    <pivotField showAll="0"/>
    <pivotField showAll="0"/>
    <pivotField showAll="0"/>
    <pivotField showAll="0"/>
    <pivotField showAll="0"/>
    <pivotField axis="axisCol" showAll="0">
      <items count="4">
        <item x="0"/>
        <item x="2"/>
        <item x="1"/>
        <item t="default"/>
      </items>
    </pivotField>
    <pivotField showAll="0"/>
    <pivotField showAll="0"/>
    <pivotField showAll="0">
      <items count="9">
        <item x="5"/>
        <item x="4"/>
        <item x="0"/>
        <item x="3"/>
        <item x="2"/>
        <item x="6"/>
        <item x="7"/>
        <item x="1"/>
        <item t="default"/>
      </items>
    </pivotField>
    <pivotField dragToRow="0" dragToCol="0" dragToPage="0" showAll="0" defaultSubtotal="0"/>
  </pivotFields>
  <rowFields count="1">
    <field x="7"/>
  </rowFields>
  <rowItems count="8">
    <i>
      <x/>
    </i>
    <i>
      <x v="1"/>
    </i>
    <i>
      <x v="2"/>
    </i>
    <i>
      <x v="3"/>
    </i>
    <i>
      <x v="4"/>
    </i>
    <i>
      <x v="5"/>
    </i>
    <i>
      <x v="6"/>
    </i>
    <i t="grand">
      <x/>
    </i>
  </rowItems>
  <colFields count="1">
    <field x="13"/>
  </colFields>
  <colItems count="4">
    <i>
      <x/>
    </i>
    <i>
      <x v="1"/>
    </i>
    <i>
      <x v="2"/>
    </i>
    <i t="grand">
      <x/>
    </i>
  </colItems>
  <dataFields count="1">
    <dataField name="Count of ID" fld="0" subtotal="count" showDataAs="percentOfRow" baseField="7" baseItem="0" numFmtId="10"/>
  </dataFields>
  <chartFormats count="12">
    <chartFormat chart="8" format="9" series="1">
      <pivotArea type="data" outline="0" fieldPosition="0">
        <references count="1">
          <reference field="13" count="1" selected="0">
            <x v="0"/>
          </reference>
        </references>
      </pivotArea>
    </chartFormat>
    <chartFormat chart="8" format="10" series="1">
      <pivotArea type="data" outline="0" fieldPosition="0">
        <references count="1">
          <reference field="13" count="1" selected="0">
            <x v="1"/>
          </reference>
        </references>
      </pivotArea>
    </chartFormat>
    <chartFormat chart="8" format="11" series="1">
      <pivotArea type="data" outline="0" fieldPosition="0">
        <references count="1">
          <reference field="13" count="1" selected="0">
            <x v="2"/>
          </reference>
        </references>
      </pivotArea>
    </chartFormat>
    <chartFormat chart="6" format="3" series="1">
      <pivotArea type="data" outline="0" fieldPosition="0">
        <references count="1">
          <reference field="13" count="1" selected="0">
            <x v="0"/>
          </reference>
        </references>
      </pivotArea>
    </chartFormat>
    <chartFormat chart="6" format="4" series="1">
      <pivotArea type="data" outline="0" fieldPosition="0">
        <references count="1">
          <reference field="13" count="1" selected="0">
            <x v="1"/>
          </reference>
        </references>
      </pivotArea>
    </chartFormat>
    <chartFormat chart="6" format="5" series="1">
      <pivotArea type="data" outline="0" fieldPosition="0">
        <references count="1">
          <reference field="13" count="1" selected="0">
            <x v="2"/>
          </reference>
        </references>
      </pivotArea>
    </chartFormat>
    <chartFormat chart="8" format="12" series="1">
      <pivotArea type="data" outline="0" fieldPosition="0">
        <references count="2">
          <reference field="4294967294" count="1" selected="0">
            <x v="0"/>
          </reference>
          <reference field="13" count="1" selected="0">
            <x v="0"/>
          </reference>
        </references>
      </pivotArea>
    </chartFormat>
    <chartFormat chart="8" format="13" series="1">
      <pivotArea type="data" outline="0" fieldPosition="0">
        <references count="2">
          <reference field="4294967294" count="1" selected="0">
            <x v="0"/>
          </reference>
          <reference field="13" count="1" selected="0">
            <x v="1"/>
          </reference>
        </references>
      </pivotArea>
    </chartFormat>
    <chartFormat chart="8" format="14" series="1">
      <pivotArea type="data" outline="0" fieldPosition="0">
        <references count="2">
          <reference field="4294967294" count="1" selected="0">
            <x v="0"/>
          </reference>
          <reference field="13" count="1" selected="0">
            <x v="2"/>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2E8303E-5B2E-47E2-B4D6-12781E1F4811}" sourceName="Department">
  <pivotTables>
    <pivotTable tabId="3" name="PivotTable1"/>
    <pivotTable tabId="3" name="PivotTable2"/>
    <pivotTable tabId="3" name="PivotTable3"/>
    <pivotTable tabId="3" name="PivotTable4"/>
    <pivotTable tabId="3" name="PivotTable5"/>
    <pivotTable tabId="3" name="PivotTable6"/>
  </pivotTables>
  <data>
    <tabular pivotCacheId="594673255">
      <items count="7">
        <i x="2" s="1"/>
        <i x="4" s="1"/>
        <i x="6" s="1"/>
        <i x="5"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45ED086-AA68-448E-8447-7BC5DBBF179B}" sourceName="Age Group">
  <pivotTables>
    <pivotTable tabId="3" name="PivotTable1"/>
    <pivotTable tabId="3" name="PivotTable2"/>
    <pivotTable tabId="3" name="PivotTable3"/>
    <pivotTable tabId="3" name="PivotTable4"/>
    <pivotTable tabId="3" name="PivotTable5"/>
    <pivotTable tabId="3" name="PivotTable6"/>
  </pivotTables>
  <data>
    <tabular pivotCacheId="594673255">
      <items count="8">
        <i x="5" s="1"/>
        <i x="4" s="1"/>
        <i x="0" s="1"/>
        <i x="3" s="1"/>
        <i x="2" s="1"/>
        <i x="6" s="1"/>
        <i x="7"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781273-D56E-47A3-A2F1-7B408F029A2E}" sourceName="[HR_Data].[Region]">
  <pivotTables>
    <pivotTable tabId="3" name="PivotTable10"/>
    <pivotTable tabId="3" name="PivotTable11"/>
    <pivotTable tabId="3" name="PivotTable12"/>
    <pivotTable tabId="3" name="PivotTable13"/>
    <pivotTable tabId="3" name="PivotTable14"/>
    <pivotTable tabId="3" name="PivotTable15"/>
    <pivotTable tabId="3" name="PivotTable9"/>
  </pivotTables>
  <data>
    <olap pivotCacheId="715278575">
      <levels count="2">
        <level uniqueName="[HR_Data].[Region].[(All)]" sourceCaption="(All)" count="0"/>
        <level uniqueName="[HR_Data].[Region].[Region]" sourceCaption="Region" count="5">
          <ranges>
            <range startItem="0">
              <i n="[HR_Data].[Region].&amp;[Midwest]" c="Midwest"/>
              <i n="[HR_Data].[Region].&amp;[Northeast]" c="Northeast"/>
              <i n="[HR_Data].[Region].&amp;[Southeast]" c="Southeast"/>
              <i n="[HR_Data].[Region].&amp;[Southwest]" c="Southwest"/>
              <i n="[HR_Data].[Region].&amp;[West]" c="West"/>
            </range>
          </ranges>
        </level>
      </levels>
      <selections count="1">
        <selection n="[HR_Data].[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_Group" xr10:uid="{6C279A1B-4382-4503-BD2C-9FE612AB5809}" sourceName="[HR_Data].[Pay Group]">
  <pivotTables>
    <pivotTable tabId="3" name="PivotTable10"/>
    <pivotTable tabId="3" name="PivotTable11"/>
    <pivotTable tabId="3" name="PivotTable12"/>
    <pivotTable tabId="3" name="PivotTable13"/>
    <pivotTable tabId="3" name="PivotTable14"/>
    <pivotTable tabId="3" name="PivotTable15"/>
    <pivotTable tabId="3" name="PivotTable9"/>
  </pivotTables>
  <data>
    <olap pivotCacheId="715278575">
      <levels count="2">
        <level uniqueName="[HR_Data].[Pay Group].[(All)]" sourceCaption="(All)" count="0"/>
        <level uniqueName="[HR_Data].[Pay Group].[Pay Group]" sourceCaption="Pay Group" count="3">
          <ranges>
            <range startItem="0">
              <i n="[HR_Data].[Pay Group].&amp;[Paid Equal]" c="Paid Equal"/>
              <i n="[HR_Data].[Pay Group].&amp;[Paid More]" c="Paid More"/>
              <i n="[HR_Data].[Pay Group].&amp;[UnderPaid]" c="UnderPaid"/>
            </range>
          </ranges>
        </level>
      </levels>
      <selections count="1">
        <selection n="[HR_Data].[Pay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F91444D-DBBD-4090-92F7-B2C4F575F1D1}" cache="Slicer_Department" caption="Department" rowHeight="209550"/>
  <slicer name="Age Group" xr10:uid="{52DA2FA2-3CCC-4834-9CD3-C53D4CBF22B9}" cache="Slicer_Age_Group" caption="Age Group"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B517A6-2CC7-405C-A3D9-3278E984D983}" cache="Slicer_Region" caption="Region" level="1" style="SlicerStyleLight1 2" rowHeight="209550"/>
  <slicer name="Pay Group" xr10:uid="{3A00FB9D-96D8-4D82-96AF-E05E418924BC}" cache="Slicer_Pay_Group" caption="Pay Group" level="1" style="SlicerStyleLight1 2"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44ED351-74F2-4B5F-9DA9-C6D6CAD2DE35}" cache="Slicer_Department" caption="Department" style="SlicerStyleLight1 2" rowHeight="209550"/>
  <slicer name="Age Group 1" xr10:uid="{151A13C9-0176-4EF5-B11C-9B1347D5305B}" cache="Slicer_Age_Group" caption="Age Group" startItem="1" style="SlicerStyleLight1 2" rowHeight="2095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9320-FEBD-48D8-BF1E-F87E5B3E0AF0}">
  <dimension ref="A3:AH108"/>
  <sheetViews>
    <sheetView topLeftCell="C80" zoomScale="90" zoomScaleNormal="90" workbookViewId="0">
      <selection activeCell="G106" sqref="G106"/>
    </sheetView>
  </sheetViews>
  <sheetFormatPr defaultRowHeight="12.75" x14ac:dyDescent="0.2"/>
  <cols>
    <col min="1" max="1" width="12.7109375" bestFit="1" customWidth="1"/>
    <col min="2" max="2" width="15.42578125" bestFit="1" customWidth="1"/>
    <col min="3" max="3" width="15" bestFit="1" customWidth="1"/>
    <col min="4" max="4" width="11.42578125" bestFit="1" customWidth="1"/>
    <col min="5" max="5" width="13.140625" bestFit="1" customWidth="1"/>
    <col min="6" max="7" width="9.28515625" bestFit="1" customWidth="1"/>
    <col min="9" max="9" width="21.7109375" bestFit="1" customWidth="1"/>
    <col min="10" max="10" width="12.7109375" bestFit="1" customWidth="1"/>
    <col min="11" max="11" width="10" bestFit="1" customWidth="1"/>
    <col min="12" max="12" width="12.7109375" bestFit="1" customWidth="1"/>
    <col min="13" max="13" width="13.140625" bestFit="1" customWidth="1"/>
    <col min="14" max="14" width="7.28515625" bestFit="1" customWidth="1"/>
    <col min="15" max="15" width="10.140625" bestFit="1" customWidth="1"/>
    <col min="24" max="24" width="12.85546875" bestFit="1" customWidth="1"/>
    <col min="25" max="25" width="15" bestFit="1" customWidth="1"/>
    <col min="26" max="26" width="7.140625" bestFit="1" customWidth="1"/>
    <col min="27" max="27" width="10.140625" bestFit="1" customWidth="1"/>
    <col min="33" max="33" width="12.85546875" bestFit="1" customWidth="1"/>
    <col min="34" max="36" width="10" bestFit="1" customWidth="1"/>
  </cols>
  <sheetData>
    <row r="3" spans="1:34" x14ac:dyDescent="0.2">
      <c r="A3" s="2" t="s">
        <v>39</v>
      </c>
      <c r="B3" s="2" t="s">
        <v>40</v>
      </c>
      <c r="C3" s="2" t="s">
        <v>41</v>
      </c>
      <c r="D3" s="2" t="s">
        <v>43</v>
      </c>
    </row>
    <row r="4" spans="1:34" ht="15" x14ac:dyDescent="0.2">
      <c r="A4" s="14">
        <v>835</v>
      </c>
      <c r="B4" s="15">
        <v>12.256287425149701</v>
      </c>
      <c r="C4" s="16">
        <v>65262833.45000001</v>
      </c>
      <c r="D4" s="15">
        <v>41.930538922155691</v>
      </c>
    </row>
    <row r="9" spans="1:34" x14ac:dyDescent="0.2">
      <c r="A9" s="9" t="s">
        <v>27</v>
      </c>
      <c r="B9" t="s">
        <v>47</v>
      </c>
      <c r="D9" s="9" t="s">
        <v>27</v>
      </c>
      <c r="E9" t="s">
        <v>39</v>
      </c>
      <c r="I9" s="9" t="s">
        <v>39</v>
      </c>
      <c r="J9" s="9" t="s">
        <v>46</v>
      </c>
    </row>
    <row r="10" spans="1:34" x14ac:dyDescent="0.2">
      <c r="A10" s="12" t="s">
        <v>6</v>
      </c>
      <c r="B10" s="11">
        <v>18.377202749999999</v>
      </c>
      <c r="D10" s="10" t="s">
        <v>5</v>
      </c>
      <c r="E10" s="8">
        <v>197</v>
      </c>
      <c r="I10" s="9" t="s">
        <v>27</v>
      </c>
      <c r="J10" s="2" t="s">
        <v>3</v>
      </c>
      <c r="K10" s="2" t="s">
        <v>8</v>
      </c>
      <c r="L10" s="2" t="s">
        <v>7</v>
      </c>
      <c r="M10" s="2" t="s">
        <v>45</v>
      </c>
    </row>
    <row r="11" spans="1:34" x14ac:dyDescent="0.2">
      <c r="A11" s="12" t="s">
        <v>9</v>
      </c>
      <c r="B11" s="11">
        <v>18.029896050000001</v>
      </c>
      <c r="D11" s="10" t="s">
        <v>12</v>
      </c>
      <c r="E11" s="8">
        <v>167</v>
      </c>
      <c r="I11" s="10" t="s">
        <v>9</v>
      </c>
      <c r="J11" s="17">
        <v>0.26008968609865468</v>
      </c>
      <c r="K11" s="17">
        <v>0.44394618834080718</v>
      </c>
      <c r="L11" s="17">
        <v>0.29596412556053814</v>
      </c>
      <c r="M11" s="17">
        <v>1</v>
      </c>
    </row>
    <row r="12" spans="1:34" x14ac:dyDescent="0.2">
      <c r="A12" s="12" t="s">
        <v>11</v>
      </c>
      <c r="B12" s="11">
        <v>15.418263199999997</v>
      </c>
      <c r="D12" s="10" t="s">
        <v>10</v>
      </c>
      <c r="E12" s="8">
        <v>161</v>
      </c>
      <c r="I12" s="10" t="s">
        <v>15</v>
      </c>
      <c r="J12" s="17">
        <v>0.52083333333333337</v>
      </c>
      <c r="K12" s="17">
        <v>0.375</v>
      </c>
      <c r="L12" s="17">
        <v>0.10416666666666667</v>
      </c>
      <c r="M12" s="17">
        <v>1</v>
      </c>
    </row>
    <row r="13" spans="1:34" x14ac:dyDescent="0.2">
      <c r="A13" s="12" t="s">
        <v>2</v>
      </c>
      <c r="B13" s="11">
        <v>6.0496040999999998</v>
      </c>
      <c r="D13" s="10" t="s">
        <v>14</v>
      </c>
      <c r="E13" s="8">
        <v>160</v>
      </c>
      <c r="I13" s="10" t="s">
        <v>24</v>
      </c>
      <c r="J13" s="17">
        <v>0.31034482758620691</v>
      </c>
      <c r="K13" s="17">
        <v>0.65517241379310343</v>
      </c>
      <c r="L13" s="17">
        <v>3.4482758620689655E-2</v>
      </c>
      <c r="M13" s="17">
        <v>1</v>
      </c>
      <c r="X13" s="9" t="s">
        <v>39</v>
      </c>
      <c r="Y13" s="9" t="s">
        <v>46</v>
      </c>
    </row>
    <row r="14" spans="1:34" x14ac:dyDescent="0.2">
      <c r="A14" s="12" t="s">
        <v>15</v>
      </c>
      <c r="B14" s="11">
        <v>4.0099584999999998</v>
      </c>
      <c r="D14" s="10" t="s">
        <v>1</v>
      </c>
      <c r="E14" s="8">
        <v>150</v>
      </c>
      <c r="I14" s="10" t="s">
        <v>21</v>
      </c>
      <c r="J14" s="17">
        <v>0.4</v>
      </c>
      <c r="K14" s="17">
        <v>0.4</v>
      </c>
      <c r="L14" s="17">
        <v>0.2</v>
      </c>
      <c r="M14" s="17">
        <v>1</v>
      </c>
      <c r="X14" s="9" t="s">
        <v>27</v>
      </c>
      <c r="Y14" s="2" t="s">
        <v>0</v>
      </c>
      <c r="Z14" s="2" t="s">
        <v>4</v>
      </c>
      <c r="AA14" s="2" t="s">
        <v>45</v>
      </c>
    </row>
    <row r="15" spans="1:34" x14ac:dyDescent="0.2">
      <c r="A15" s="12" t="s">
        <v>24</v>
      </c>
      <c r="B15" s="11">
        <v>1.8835164</v>
      </c>
      <c r="D15" s="10" t="s">
        <v>45</v>
      </c>
      <c r="E15" s="8">
        <v>835</v>
      </c>
      <c r="I15" s="10" t="s">
        <v>2</v>
      </c>
      <c r="J15" s="17">
        <v>0.34090909090909088</v>
      </c>
      <c r="K15" s="17">
        <v>0.43181818181818182</v>
      </c>
      <c r="L15" s="17">
        <v>0.22727272727272727</v>
      </c>
      <c r="M15" s="17">
        <v>1</v>
      </c>
      <c r="X15" s="10" t="s">
        <v>30</v>
      </c>
      <c r="Y15" s="18">
        <v>0.36440677966101692</v>
      </c>
      <c r="Z15" s="18">
        <v>0.63559322033898302</v>
      </c>
      <c r="AA15" s="18">
        <v>1</v>
      </c>
    </row>
    <row r="16" spans="1:34" x14ac:dyDescent="0.2">
      <c r="A16" s="12" t="s">
        <v>21</v>
      </c>
      <c r="B16" s="11">
        <v>1.4943924499999999</v>
      </c>
      <c r="I16" s="10" t="s">
        <v>11</v>
      </c>
      <c r="J16" s="17">
        <v>0.31034482758620691</v>
      </c>
      <c r="K16" s="17">
        <v>0.45812807881773399</v>
      </c>
      <c r="L16" s="17">
        <v>0.23152709359605911</v>
      </c>
      <c r="M16" s="17">
        <v>1</v>
      </c>
      <c r="X16" s="10" t="s">
        <v>37</v>
      </c>
      <c r="Y16" s="18">
        <v>0.33333333333333331</v>
      </c>
      <c r="Z16" s="18">
        <v>0.66666666666666663</v>
      </c>
      <c r="AA16" s="18">
        <v>1</v>
      </c>
      <c r="AG16" s="9" t="s">
        <v>27</v>
      </c>
      <c r="AH16" t="s">
        <v>39</v>
      </c>
    </row>
    <row r="17" spans="1:34" x14ac:dyDescent="0.2">
      <c r="A17" s="10" t="s">
        <v>45</v>
      </c>
      <c r="B17" s="8">
        <v>65.262833450000002</v>
      </c>
      <c r="I17" s="10" t="s">
        <v>6</v>
      </c>
      <c r="J17" s="17">
        <v>0.22767857142857142</v>
      </c>
      <c r="K17" s="17">
        <v>0.45089285714285715</v>
      </c>
      <c r="L17" s="17">
        <v>0.32142857142857145</v>
      </c>
      <c r="M17" s="17">
        <v>1</v>
      </c>
      <c r="X17" s="10" t="s">
        <v>28</v>
      </c>
      <c r="Y17" s="18">
        <v>0.51368421052631574</v>
      </c>
      <c r="Z17" s="18">
        <v>0.4863157894736842</v>
      </c>
      <c r="AA17" s="18">
        <v>1</v>
      </c>
      <c r="AG17" s="10" t="s">
        <v>0</v>
      </c>
      <c r="AH17" s="7">
        <v>375</v>
      </c>
    </row>
    <row r="18" spans="1:34" x14ac:dyDescent="0.2">
      <c r="I18" s="10" t="s">
        <v>45</v>
      </c>
      <c r="J18" s="17">
        <v>0.29221556886227545</v>
      </c>
      <c r="K18" s="17">
        <v>0.45029940119760481</v>
      </c>
      <c r="L18" s="17">
        <v>0.25748502994011974</v>
      </c>
      <c r="M18" s="17">
        <v>1</v>
      </c>
      <c r="X18" s="10" t="s">
        <v>45</v>
      </c>
      <c r="Y18" s="18">
        <v>0.44910179640718562</v>
      </c>
      <c r="Z18" s="18">
        <v>0.55089820359281438</v>
      </c>
      <c r="AA18" s="18">
        <v>1</v>
      </c>
      <c r="AG18" s="10" t="s">
        <v>4</v>
      </c>
      <c r="AH18" s="7">
        <v>460</v>
      </c>
    </row>
    <row r="19" spans="1:34" x14ac:dyDescent="0.2">
      <c r="AG19" s="10" t="s">
        <v>45</v>
      </c>
      <c r="AH19" s="7">
        <v>835</v>
      </c>
    </row>
    <row r="41" spans="2:7" x14ac:dyDescent="0.2">
      <c r="B41" s="2" t="s">
        <v>48</v>
      </c>
      <c r="C41" s="2" t="s">
        <v>42</v>
      </c>
      <c r="D41" s="2" t="s">
        <v>49</v>
      </c>
      <c r="E41" s="2" t="s">
        <v>50</v>
      </c>
    </row>
    <row r="42" spans="2:7" x14ac:dyDescent="0.2">
      <c r="B42" s="1">
        <v>7</v>
      </c>
      <c r="C42" s="1">
        <v>30.016766467065867</v>
      </c>
      <c r="D42" s="3">
        <v>5</v>
      </c>
      <c r="E42" s="4">
        <v>78159.081976047906</v>
      </c>
    </row>
    <row r="48" spans="2:7" x14ac:dyDescent="0.2">
      <c r="B48" s="9" t="s">
        <v>44</v>
      </c>
      <c r="C48" t="s">
        <v>39</v>
      </c>
      <c r="F48" s="9" t="s">
        <v>44</v>
      </c>
      <c r="G48" t="s">
        <v>51</v>
      </c>
    </row>
    <row r="49" spans="2:11" x14ac:dyDescent="0.2">
      <c r="B49" s="10" t="s">
        <v>6</v>
      </c>
      <c r="C49" s="3">
        <v>224</v>
      </c>
      <c r="F49" s="10" t="s">
        <v>19</v>
      </c>
      <c r="G49" s="5">
        <v>1.5290253</v>
      </c>
      <c r="J49" s="9" t="s">
        <v>44</v>
      </c>
      <c r="K49" t="s">
        <v>39</v>
      </c>
    </row>
    <row r="50" spans="2:11" x14ac:dyDescent="0.2">
      <c r="B50" s="10" t="s">
        <v>9</v>
      </c>
      <c r="C50" s="3">
        <v>223</v>
      </c>
      <c r="F50" s="10" t="s">
        <v>16</v>
      </c>
      <c r="G50" s="5">
        <v>1.0458215</v>
      </c>
      <c r="J50" s="10" t="s">
        <v>8</v>
      </c>
      <c r="K50" s="6">
        <v>376</v>
      </c>
    </row>
    <row r="51" spans="2:11" x14ac:dyDescent="0.2">
      <c r="B51" s="10" t="s">
        <v>11</v>
      </c>
      <c r="C51" s="3">
        <v>203</v>
      </c>
      <c r="F51" s="10" t="s">
        <v>22</v>
      </c>
      <c r="G51" s="5">
        <v>0.99888334999999995</v>
      </c>
      <c r="J51" s="10" t="s">
        <v>3</v>
      </c>
      <c r="K51" s="6">
        <v>244</v>
      </c>
    </row>
    <row r="52" spans="2:11" x14ac:dyDescent="0.2">
      <c r="B52" s="10" t="s">
        <v>2</v>
      </c>
      <c r="C52" s="3">
        <v>88</v>
      </c>
      <c r="F52" s="10" t="s">
        <v>23</v>
      </c>
      <c r="G52" s="5">
        <v>0.94834319999999994</v>
      </c>
      <c r="J52" s="10" t="s">
        <v>7</v>
      </c>
      <c r="K52" s="6">
        <v>215</v>
      </c>
    </row>
    <row r="53" spans="2:11" x14ac:dyDescent="0.2">
      <c r="B53" s="10" t="s">
        <v>15</v>
      </c>
      <c r="C53" s="3">
        <v>48</v>
      </c>
      <c r="F53" s="10" t="s">
        <v>26</v>
      </c>
      <c r="G53" s="5">
        <v>0.90605000000000002</v>
      </c>
      <c r="J53" s="10" t="s">
        <v>45</v>
      </c>
      <c r="K53" s="6">
        <v>835</v>
      </c>
    </row>
    <row r="54" spans="2:11" x14ac:dyDescent="0.2">
      <c r="B54" s="10" t="s">
        <v>24</v>
      </c>
      <c r="C54" s="3">
        <v>29</v>
      </c>
      <c r="F54" s="10" t="s">
        <v>18</v>
      </c>
      <c r="G54" s="5">
        <v>0.86616749999999998</v>
      </c>
    </row>
    <row r="55" spans="2:11" x14ac:dyDescent="0.2">
      <c r="B55" s="10" t="s">
        <v>21</v>
      </c>
      <c r="C55" s="3">
        <v>20</v>
      </c>
      <c r="F55" s="10" t="s">
        <v>25</v>
      </c>
      <c r="G55" s="5">
        <v>0.84608799999999995</v>
      </c>
    </row>
    <row r="56" spans="2:11" x14ac:dyDescent="0.2">
      <c r="B56" s="10" t="s">
        <v>45</v>
      </c>
      <c r="C56" s="3">
        <v>835</v>
      </c>
      <c r="F56" s="10" t="s">
        <v>17</v>
      </c>
      <c r="G56" s="5">
        <v>0.76052980000000003</v>
      </c>
    </row>
    <row r="57" spans="2:11" x14ac:dyDescent="0.2">
      <c r="F57" s="10" t="s">
        <v>20</v>
      </c>
      <c r="G57" s="5">
        <v>0.74980780000000002</v>
      </c>
    </row>
    <row r="58" spans="2:11" x14ac:dyDescent="0.2">
      <c r="F58" s="10" t="s">
        <v>13</v>
      </c>
      <c r="G58" s="5">
        <v>0.67882299999999995</v>
      </c>
    </row>
    <row r="59" spans="2:11" x14ac:dyDescent="0.2">
      <c r="F59" s="10" t="s">
        <v>45</v>
      </c>
      <c r="G59" s="6">
        <v>9.3295394499999986</v>
      </c>
    </row>
    <row r="82" spans="1:13" x14ac:dyDescent="0.2">
      <c r="L82" s="9" t="s">
        <v>44</v>
      </c>
      <c r="M82" t="s">
        <v>50</v>
      </c>
    </row>
    <row r="83" spans="1:13" x14ac:dyDescent="0.2">
      <c r="A83" s="9" t="s">
        <v>39</v>
      </c>
      <c r="B83" s="9" t="s">
        <v>46</v>
      </c>
      <c r="L83" s="10" t="s">
        <v>0</v>
      </c>
      <c r="M83" s="6">
        <v>69401.372799999997</v>
      </c>
    </row>
    <row r="84" spans="1:13" x14ac:dyDescent="0.2">
      <c r="A84" s="9" t="s">
        <v>44</v>
      </c>
      <c r="B84" s="2" t="s">
        <v>0</v>
      </c>
      <c r="C84" s="2" t="s">
        <v>4</v>
      </c>
      <c r="D84" s="2" t="s">
        <v>45</v>
      </c>
      <c r="L84" s="10" t="s">
        <v>4</v>
      </c>
      <c r="M84" s="6">
        <v>85298.518804347827</v>
      </c>
    </row>
    <row r="85" spans="1:13" x14ac:dyDescent="0.2">
      <c r="A85" s="10" t="s">
        <v>35</v>
      </c>
      <c r="B85" s="17">
        <v>0.39393939393939392</v>
      </c>
      <c r="C85" s="17">
        <v>0.60606060606060608</v>
      </c>
      <c r="D85" s="17">
        <v>1</v>
      </c>
      <c r="L85" s="10" t="s">
        <v>45</v>
      </c>
      <c r="M85" s="6">
        <v>78159.081976047906</v>
      </c>
    </row>
    <row r="86" spans="1:13" x14ac:dyDescent="0.2">
      <c r="A86" s="10" t="s">
        <v>34</v>
      </c>
      <c r="B86" s="17">
        <v>0.41346153846153844</v>
      </c>
      <c r="C86" s="17">
        <v>0.58653846153846156</v>
      </c>
      <c r="D86" s="17">
        <v>1</v>
      </c>
    </row>
    <row r="87" spans="1:13" x14ac:dyDescent="0.2">
      <c r="A87" s="10" t="s">
        <v>29</v>
      </c>
      <c r="B87" s="17">
        <v>0.5304347826086957</v>
      </c>
      <c r="C87" s="17">
        <v>0.46956521739130436</v>
      </c>
      <c r="D87" s="17">
        <v>1</v>
      </c>
    </row>
    <row r="88" spans="1:13" x14ac:dyDescent="0.2">
      <c r="A88" s="10" t="s">
        <v>33</v>
      </c>
      <c r="B88" s="17">
        <v>0.45925925925925926</v>
      </c>
      <c r="C88" s="17">
        <v>0.54074074074074074</v>
      </c>
      <c r="D88" s="17">
        <v>1</v>
      </c>
    </row>
    <row r="89" spans="1:13" x14ac:dyDescent="0.2">
      <c r="A89" s="10" t="s">
        <v>32</v>
      </c>
      <c r="B89" s="17">
        <v>0.42424242424242425</v>
      </c>
      <c r="C89" s="17">
        <v>0.5757575757575758</v>
      </c>
      <c r="D89" s="17">
        <v>1</v>
      </c>
    </row>
    <row r="90" spans="1:13" x14ac:dyDescent="0.2">
      <c r="A90" s="10" t="s">
        <v>36</v>
      </c>
      <c r="B90" s="17">
        <v>0.43617021276595747</v>
      </c>
      <c r="C90" s="17">
        <v>0.56382978723404253</v>
      </c>
      <c r="D90" s="17">
        <v>1</v>
      </c>
    </row>
    <row r="91" spans="1:13" x14ac:dyDescent="0.2">
      <c r="A91" s="10" t="s">
        <v>38</v>
      </c>
      <c r="B91" s="17">
        <v>0</v>
      </c>
      <c r="C91" s="17">
        <v>1</v>
      </c>
      <c r="D91" s="17">
        <v>1</v>
      </c>
    </row>
    <row r="92" spans="1:13" x14ac:dyDescent="0.2">
      <c r="A92" s="10" t="s">
        <v>31</v>
      </c>
      <c r="B92" s="17">
        <v>0.45</v>
      </c>
      <c r="C92" s="17">
        <v>0.55000000000000004</v>
      </c>
      <c r="D92" s="17">
        <v>1</v>
      </c>
    </row>
    <row r="93" spans="1:13" x14ac:dyDescent="0.2">
      <c r="A93" s="10" t="s">
        <v>45</v>
      </c>
      <c r="B93" s="17">
        <v>0.44910179640718562</v>
      </c>
      <c r="C93" s="17">
        <v>0.55089820359281438</v>
      </c>
      <c r="D93" s="17">
        <v>1</v>
      </c>
    </row>
    <row r="104" spans="5:6" x14ac:dyDescent="0.2">
      <c r="E104" s="9" t="s">
        <v>44</v>
      </c>
      <c r="F104" t="s">
        <v>51</v>
      </c>
    </row>
    <row r="105" spans="5:6" x14ac:dyDescent="0.2">
      <c r="E105" s="10" t="s">
        <v>8</v>
      </c>
      <c r="F105" s="6">
        <v>29.89918965</v>
      </c>
    </row>
    <row r="106" spans="5:6" x14ac:dyDescent="0.2">
      <c r="E106" s="10" t="s">
        <v>7</v>
      </c>
      <c r="F106" s="6">
        <v>20.64313945</v>
      </c>
    </row>
    <row r="107" spans="5:6" x14ac:dyDescent="0.2">
      <c r="E107" s="10" t="s">
        <v>3</v>
      </c>
      <c r="F107" s="6">
        <v>14.720504349999999</v>
      </c>
    </row>
    <row r="108" spans="5:6" x14ac:dyDescent="0.2">
      <c r="E108" s="10" t="s">
        <v>45</v>
      </c>
      <c r="F108" s="6">
        <v>65.262833450000002</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61208-8C58-4371-9C30-A13C396412E7}">
  <dimension ref="A1"/>
  <sheetViews>
    <sheetView showGridLines="0" zoomScale="90" zoomScaleNormal="90" workbookViewId="0">
      <selection activeCell="T10" sqref="T10"/>
    </sheetView>
  </sheetViews>
  <sheetFormatPr defaultRowHeight="12.75" x14ac:dyDescent="0.2"/>
  <cols>
    <col min="1" max="16384" width="9.140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46FA9-BDF3-4110-AED8-2458412D143F}">
  <dimension ref="A1"/>
  <sheetViews>
    <sheetView showGridLines="0" tabSelected="1" topLeftCell="B1" zoomScale="90" zoomScaleNormal="90" workbookViewId="0">
      <selection activeCell="W1" sqref="W1"/>
    </sheetView>
  </sheetViews>
  <sheetFormatPr defaultRowHeight="12.75" x14ac:dyDescent="0.2"/>
  <cols>
    <col min="1"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BEC397-2626-423D-997F-76B2DE7364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Dashbourd2</vt:lpstr>
      <vt:lpstr>Dashbourd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Annelise</dc:creator>
  <cp:lastModifiedBy>Mostafa Elnabarawy</cp:lastModifiedBy>
  <dcterms:created xsi:type="dcterms:W3CDTF">2022-09-01T13:21:03Z</dcterms:created>
  <dcterms:modified xsi:type="dcterms:W3CDTF">2026-04-28T09:52:04Z</dcterms:modified>
</cp:coreProperties>
</file>